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721" codeName="{8C4F1C90-05EB-6A55-5F09-09C24B55AC0B}"/>
  <workbookPr showInkAnnotation="0" codeName="ThisWorkbook" autoCompressPictures="0"/>
  <bookViews>
    <workbookView xWindow="0" yWindow="0" windowWidth="24240" windowHeight="13740" tabRatio="500"/>
  </bookViews>
  <sheets>
    <sheet name="horraire" sheetId="1" r:id="rId1"/>
    <sheet name="variable" sheetId="2" r:id="rId2"/>
  </sheets>
  <definedNames>
    <definedName name="_xlnm._FilterDatabase" localSheetId="0" hidden="1">horraire!$A$1:$J$131</definedName>
    <definedName name="_xlnm.Criteria" localSheetId="0">horraire!$B$1:$J$1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0" i="1" l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1" i="1"/>
  <c r="H9" i="1"/>
  <c r="H8" i="1"/>
  <c r="H7" i="1"/>
  <c r="H3" i="1"/>
  <c r="H4" i="1"/>
  <c r="H5" i="1"/>
  <c r="H6" i="1"/>
  <c r="H2" i="1"/>
  <c r="C11" i="1"/>
  <c r="C16" i="1"/>
  <c r="C21" i="1"/>
  <c r="C26" i="1"/>
  <c r="C31" i="1"/>
  <c r="C36" i="1"/>
  <c r="C41" i="1"/>
  <c r="C46" i="1"/>
  <c r="C51" i="1"/>
  <c r="C56" i="1"/>
  <c r="C61" i="1"/>
  <c r="C66" i="1"/>
  <c r="C71" i="1"/>
  <c r="C76" i="1"/>
  <c r="C81" i="1"/>
  <c r="C86" i="1"/>
  <c r="C91" i="1"/>
  <c r="C96" i="1"/>
  <c r="C101" i="1"/>
  <c r="C106" i="1"/>
  <c r="C111" i="1"/>
  <c r="C116" i="1"/>
  <c r="C121" i="1"/>
  <c r="C126" i="1"/>
  <c r="C131" i="1"/>
  <c r="C7" i="1"/>
  <c r="C12" i="1"/>
  <c r="C17" i="1"/>
  <c r="C22" i="1"/>
  <c r="C27" i="1"/>
  <c r="C32" i="1"/>
  <c r="C37" i="1"/>
  <c r="C42" i="1"/>
  <c r="C47" i="1"/>
  <c r="C52" i="1"/>
  <c r="C57" i="1"/>
  <c r="C62" i="1"/>
  <c r="C67" i="1"/>
  <c r="C72" i="1"/>
  <c r="C77" i="1"/>
  <c r="C82" i="1"/>
  <c r="C87" i="1"/>
  <c r="C92" i="1"/>
  <c r="C97" i="1"/>
  <c r="C102" i="1"/>
  <c r="C107" i="1"/>
  <c r="C112" i="1"/>
  <c r="C117" i="1"/>
  <c r="C122" i="1"/>
  <c r="C127" i="1"/>
  <c r="C8" i="1"/>
  <c r="C13" i="1"/>
  <c r="C18" i="1"/>
  <c r="C23" i="1"/>
  <c r="C28" i="1"/>
  <c r="C33" i="1"/>
  <c r="C38" i="1"/>
  <c r="C43" i="1"/>
  <c r="C48" i="1"/>
  <c r="C53" i="1"/>
  <c r="C58" i="1"/>
  <c r="C63" i="1"/>
  <c r="C68" i="1"/>
  <c r="C73" i="1"/>
  <c r="C78" i="1"/>
  <c r="C83" i="1"/>
  <c r="C88" i="1"/>
  <c r="C93" i="1"/>
  <c r="C98" i="1"/>
  <c r="C103" i="1"/>
  <c r="C108" i="1"/>
  <c r="C113" i="1"/>
  <c r="C118" i="1"/>
  <c r="C123" i="1"/>
  <c r="C128" i="1"/>
  <c r="C9" i="1"/>
  <c r="C14" i="1"/>
  <c r="C19" i="1"/>
  <c r="C24" i="1"/>
  <c r="C29" i="1"/>
  <c r="C34" i="1"/>
  <c r="C39" i="1"/>
  <c r="C44" i="1"/>
  <c r="C49" i="1"/>
  <c r="C54" i="1"/>
  <c r="C59" i="1"/>
  <c r="C64" i="1"/>
  <c r="C69" i="1"/>
  <c r="C74" i="1"/>
  <c r="C79" i="1"/>
  <c r="C84" i="1"/>
  <c r="C89" i="1"/>
  <c r="C94" i="1"/>
  <c r="C99" i="1"/>
  <c r="C104" i="1"/>
  <c r="C109" i="1"/>
  <c r="C114" i="1"/>
  <c r="C119" i="1"/>
  <c r="C124" i="1"/>
  <c r="C129" i="1"/>
  <c r="C10" i="1"/>
  <c r="C15" i="1"/>
  <c r="C20" i="1"/>
  <c r="C25" i="1"/>
  <c r="C30" i="1"/>
  <c r="C35" i="1"/>
  <c r="C40" i="1"/>
  <c r="C45" i="1"/>
  <c r="C50" i="1"/>
  <c r="C55" i="1"/>
  <c r="C60" i="1"/>
  <c r="C65" i="1"/>
  <c r="C70" i="1"/>
  <c r="C75" i="1"/>
  <c r="C80" i="1"/>
  <c r="C85" i="1"/>
  <c r="C90" i="1"/>
  <c r="C95" i="1"/>
  <c r="C100" i="1"/>
  <c r="C105" i="1"/>
  <c r="C110" i="1"/>
  <c r="C115" i="1"/>
  <c r="C120" i="1"/>
  <c r="C125" i="1"/>
  <c r="C130" i="1"/>
  <c r="J52" i="1"/>
  <c r="J12" i="1"/>
  <c r="J62" i="1"/>
  <c r="J42" i="1"/>
  <c r="J22" i="1"/>
  <c r="J122" i="1"/>
  <c r="J72" i="1"/>
  <c r="J32" i="1"/>
  <c r="J7" i="1"/>
  <c r="J67" i="1"/>
  <c r="J117" i="1"/>
  <c r="J97" i="1"/>
  <c r="J77" i="1"/>
  <c r="J37" i="1"/>
  <c r="J112" i="1"/>
  <c r="J92" i="1"/>
  <c r="J47" i="1"/>
  <c r="J107" i="1"/>
  <c r="J87" i="1"/>
  <c r="J57" i="1"/>
  <c r="J17" i="1"/>
  <c r="J127" i="1"/>
  <c r="J102" i="1"/>
  <c r="J82" i="1"/>
  <c r="J27" i="1"/>
  <c r="J2" i="1"/>
</calcChain>
</file>

<file path=xl/sharedStrings.xml><?xml version="1.0" encoding="utf-8"?>
<sst xmlns="http://schemas.openxmlformats.org/spreadsheetml/2006/main" count="36" uniqueCount="32">
  <si>
    <t>heure de début</t>
  </si>
  <si>
    <t>heure de fin</t>
  </si>
  <si>
    <t>durée de travail</t>
  </si>
  <si>
    <t>Semaine</t>
  </si>
  <si>
    <t>total semaine</t>
  </si>
  <si>
    <t>borne heure semaine</t>
  </si>
  <si>
    <t>min</t>
  </si>
  <si>
    <t>max</t>
  </si>
  <si>
    <t>Commentaire</t>
  </si>
  <si>
    <t>lecture doc fonctionnement atos (projet, etc.) + installation poste</t>
  </si>
  <si>
    <t>installation poste + logiciel (Jahia, BdD, svn, etc.)</t>
  </si>
  <si>
    <t>formation Jahia jour 1</t>
  </si>
  <si>
    <t>formation Jahia jour 2</t>
  </si>
  <si>
    <t>révision fonctionnement test + mise au point structuration projet + correction mineur sur le portail des lorrains + pré test sur machine développeur</t>
  </si>
  <si>
    <t>test sur plateforme d'intégration</t>
  </si>
  <si>
    <t>mise en forme des tests (complément d'information sur les explorateurs internet IE, Ff) + recherche sur ReadSpeaker (transmission des informations effectué en fin de journée) + déploiement des modifications sur int-pdl (a appris que l'on peu faire kill -9 sur le processus jahia si besoin est)</t>
  </si>
  <si>
    <t>reprise des recherches sur ReadSpeaker + ce que j'ai appris ben juste ou sont positionné les war : dossier va et shared module, si problème de librairie regarder dans le dossier lib pour voir si il y a des doublons + 1er jet readspeaker</t>
  </si>
  <si>
    <t>correction de doc client (sfd + test reference + lot d'évol mineur) + rédaction doc général ReadSpeaker</t>
  </si>
  <si>
    <t>reprise des révisions de doc client fiche mantis 205 et 211 livraison + analyse festival des musiques lycéene + questionnaire pour client readspeaker</t>
  </si>
  <si>
    <t>rédaction de SFD readspeaket et maj SFD PDL + création branche : "festival des musiques lycéenes" + ajout d'une vue FML</t>
  </si>
  <si>
    <t>développement de "article FML" (titre, genre, lycée, lien facebook) avec l'aide de la maquette du client</t>
  </si>
  <si>
    <t>confirmation du dev + début de rédaction</t>
  </si>
  <si>
    <t>rédaction des docs + vérification sur crlo - article + apport de modification pour limité les cas extrêmes et chaos (débordement, bouton j'aime toujours sur une nouvelle ligne + vérification sur les URLs)</t>
  </si>
  <si>
    <t>finalisation du SFD, DAF, BLI pour test en intégration avant livraison + modification sur demande client suite a l'envoie de la maquette (bouton centré, changement de couleur de fond * 2)</t>
  </si>
  <si>
    <t>correction des spécifications (quiproquo avec le fonctionnement du vote [mineur URL à aimer] + couleur fond) =&gt; réévaluation du DAF, SFD, Fiche de test + manière de cacher le compteur + affichage du compteur uniquement pour la région lorraine</t>
  </si>
  <si>
    <t>Date</t>
  </si>
  <si>
    <t>changement dans la manière de présenter les articles votables, mise en œuvre d'une liste qui arrange des composants sous 2 colonnes</t>
  </si>
  <si>
    <t xml:space="preserve">découverte d'un bug d'affichage lié apparement au cache pour vérification installation d'une machine similaire au serveur + vérification présence bug + installation d'un patch </t>
  </si>
  <si>
    <t>travail sur le bandeau + mise au point de plusieurs solutions à proposer au client basé sur ContentFlow</t>
  </si>
  <si>
    <t>debug pour equivalence entre navigateur du nouveau bandeau</t>
  </si>
  <si>
    <t>Mois</t>
  </si>
  <si>
    <t>intégration du bandeau dans jahia + ajout de questions au client + test sur le drag'n drop + test sur le menu déroulant vers le haut et zone fixe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</si>
</sst>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;@"/>
    <numFmt numFmtId="165" formatCode="[h]:mm:ss;@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 applyProtection="1">
      <alignment horizontal="center"/>
    </xf>
    <xf numFmtId="46" fontId="0" fillId="0" borderId="0" xfId="0" applyNumberFormat="1" applyAlignment="1" applyProtection="1">
      <alignment horizontal="center"/>
    </xf>
    <xf numFmtId="165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15" fontId="0" fillId="0" borderId="0" xfId="0" applyNumberFormat="1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4" fontId="0" fillId="0" borderId="0" xfId="0" quotePrefix="1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165" fontId="0" fillId="0" borderId="0" xfId="0" applyNumberFormat="1" applyAlignment="1" applyProtection="1">
      <alignment horizontal="center" vertical="center"/>
    </xf>
  </cellXfs>
  <cellStyles count="25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filterMode="1" enableFormatConditionsCalculation="0"/>
  <dimension ref="A1:K146"/>
  <sheetViews>
    <sheetView tabSelected="1" zoomScale="85" zoomScaleNormal="85" zoomScalePageLayoutView="85" workbookViewId="0">
      <selection activeCell="I132" sqref="I132"/>
    </sheetView>
  </sheetViews>
  <sheetFormatPr baseColWidth="10" defaultColWidth="10.83203125" defaultRowHeight="15" x14ac:dyDescent="0"/>
  <cols>
    <col min="1" max="1" width="10.83203125" style="13"/>
    <col min="2" max="2" width="13.5" style="4" bestFit="1" customWidth="1"/>
    <col min="3" max="3" width="10.5" style="4" bestFit="1" customWidth="1"/>
    <col min="4" max="4" width="19.1640625" style="10" bestFit="1" customWidth="1"/>
    <col min="5" max="5" width="16.5" style="10" bestFit="1" customWidth="1"/>
    <col min="6" max="6" width="19.1640625" style="10" bestFit="1" customWidth="1"/>
    <col min="7" max="7" width="16.5" style="10" bestFit="1" customWidth="1"/>
    <col min="8" max="8" width="19.5" style="4" bestFit="1" customWidth="1"/>
    <col min="9" max="9" width="41.1640625" style="8" customWidth="1"/>
    <col min="10" max="10" width="17.6640625" style="4" bestFit="1" customWidth="1"/>
    <col min="11" max="11" width="10.83203125" style="9"/>
    <col min="12" max="12" width="10.83203125" style="4" customWidth="1"/>
    <col min="13" max="16384" width="10.83203125" style="4"/>
  </cols>
  <sheetData>
    <row r="1" spans="1:11">
      <c r="A1" s="13" t="s">
        <v>30</v>
      </c>
      <c r="B1" s="4" t="s">
        <v>3</v>
      </c>
      <c r="C1" s="4" t="s">
        <v>25</v>
      </c>
      <c r="D1" s="4" t="s">
        <v>0</v>
      </c>
      <c r="E1" s="4" t="s">
        <v>1</v>
      </c>
      <c r="F1" s="4" t="s">
        <v>0</v>
      </c>
      <c r="G1" s="4" t="s">
        <v>1</v>
      </c>
      <c r="H1" s="4" t="s">
        <v>2</v>
      </c>
      <c r="I1" s="12" t="s">
        <v>8</v>
      </c>
      <c r="J1" s="4" t="s">
        <v>4</v>
      </c>
      <c r="K1" s="4"/>
    </row>
    <row r="2" spans="1:11" ht="15" hidden="1" customHeight="1">
      <c r="A2" s="15">
        <v>1</v>
      </c>
      <c r="B2" s="14">
        <v>1</v>
      </c>
      <c r="C2" s="5">
        <v>40987</v>
      </c>
      <c r="D2" s="6">
        <v>0.41666666666666669</v>
      </c>
      <c r="E2" s="6">
        <v>0.51041666666666663</v>
      </c>
      <c r="F2" s="6">
        <v>0.55208333333333337</v>
      </c>
      <c r="G2" s="6">
        <v>0.71875</v>
      </c>
      <c r="H2" s="7">
        <f>IF(AND(E2&lt;&gt;"",  D2 &lt;&gt; "", G2 &lt;&gt; "", F2 &lt;&gt; ""),E2-D2+G2-F2,"")</f>
        <v>0.26041666666666663</v>
      </c>
      <c r="I2" s="8" t="s">
        <v>9</v>
      </c>
      <c r="J2" s="16">
        <f>IF(SUM(H2:H6) &lt;&gt; 0, SUM(H2:H6), "")</f>
        <v>1.5604166666666663</v>
      </c>
    </row>
    <row r="3" spans="1:11" ht="15.75" hidden="1">
      <c r="A3" s="15"/>
      <c r="B3" s="14"/>
      <c r="C3" s="5">
        <v>40988</v>
      </c>
      <c r="D3" s="6">
        <v>0.34722222222222227</v>
      </c>
      <c r="E3" s="6">
        <v>0.5180555555555556</v>
      </c>
      <c r="F3" s="6">
        <v>0.56111111111111112</v>
      </c>
      <c r="G3" s="6">
        <v>0.72986111111111107</v>
      </c>
      <c r="H3" s="7">
        <f t="shared" ref="H3:H6" si="0">IF(AND(E3&lt;&gt;"",  D3 &lt;&gt; "", G3 &lt;&gt; "", F3 &lt;&gt; ""),E3-D3+G3-F3,"")</f>
        <v>0.33958333333333335</v>
      </c>
      <c r="I3" s="8" t="s">
        <v>10</v>
      </c>
      <c r="J3" s="16"/>
    </row>
    <row r="4" spans="1:11" ht="15.75" hidden="1">
      <c r="A4" s="15"/>
      <c r="B4" s="14"/>
      <c r="C4" s="5">
        <v>40989</v>
      </c>
      <c r="D4" s="6">
        <v>0.34722222222222227</v>
      </c>
      <c r="E4" s="6">
        <v>0.51041666666666663</v>
      </c>
      <c r="F4" s="6">
        <v>0.58333333333333337</v>
      </c>
      <c r="G4" s="6">
        <v>0.73958333333333337</v>
      </c>
      <c r="H4" s="7">
        <f t="shared" si="0"/>
        <v>0.31944444444444431</v>
      </c>
      <c r="I4" s="8" t="s">
        <v>10</v>
      </c>
      <c r="J4" s="16"/>
    </row>
    <row r="5" spans="1:11" ht="15.75" hidden="1">
      <c r="A5" s="15"/>
      <c r="B5" s="14"/>
      <c r="C5" s="5">
        <v>40990</v>
      </c>
      <c r="D5" s="6">
        <v>0.36458333333333331</v>
      </c>
      <c r="E5" s="6">
        <v>0.51041666666666663</v>
      </c>
      <c r="F5" s="6">
        <v>0.58333333333333337</v>
      </c>
      <c r="G5" s="6">
        <v>0.75208333333333333</v>
      </c>
      <c r="H5" s="7">
        <f t="shared" si="0"/>
        <v>0.31458333333333333</v>
      </c>
      <c r="I5" s="8" t="s">
        <v>11</v>
      </c>
      <c r="J5" s="16"/>
    </row>
    <row r="6" spans="1:11" ht="15.75" hidden="1">
      <c r="A6" s="15"/>
      <c r="B6" s="14"/>
      <c r="C6" s="5">
        <v>40991</v>
      </c>
      <c r="D6" s="6">
        <v>0.35833333333333334</v>
      </c>
      <c r="E6" s="6">
        <v>0.51736111111111105</v>
      </c>
      <c r="F6" s="6">
        <v>0.57638888888888895</v>
      </c>
      <c r="G6" s="6">
        <v>0.74375000000000002</v>
      </c>
      <c r="H6" s="7">
        <f t="shared" si="0"/>
        <v>0.32638888888888873</v>
      </c>
      <c r="I6" s="8" t="s">
        <v>12</v>
      </c>
      <c r="J6" s="16"/>
    </row>
    <row r="7" spans="1:11" ht="15.75" hidden="1">
      <c r="A7" s="15"/>
      <c r="B7" s="14">
        <v>2</v>
      </c>
      <c r="C7" s="5">
        <f>C2+7</f>
        <v>40994</v>
      </c>
      <c r="D7" s="6">
        <v>0.35416666666666669</v>
      </c>
      <c r="E7" s="6">
        <v>0.51041666666666663</v>
      </c>
      <c r="F7" s="6">
        <v>0.5625</v>
      </c>
      <c r="G7" s="6">
        <v>0.75486111111111109</v>
      </c>
      <c r="H7" s="7">
        <f>IF(AND(E7&lt;&gt;"",  D7 &lt;&gt; "", G7 &lt;&gt; "", F7 &lt;&gt; ""),E7-D7+G7-F7,"")</f>
        <v>0.34861111111111098</v>
      </c>
      <c r="I7" s="8" t="s">
        <v>13</v>
      </c>
      <c r="J7" s="16">
        <f t="shared" ref="J7" si="1">IF(SUM(H7:H11) &lt;&gt; 0, SUM(H7:H11), "")</f>
        <v>1.7361111111111107</v>
      </c>
    </row>
    <row r="8" spans="1:11" ht="15.75" hidden="1">
      <c r="A8" s="15"/>
      <c r="B8" s="14"/>
      <c r="C8" s="5">
        <f>C3+7</f>
        <v>40995</v>
      </c>
      <c r="D8" s="6">
        <v>0.35555555555555557</v>
      </c>
      <c r="E8" s="6">
        <v>0.51041666666666663</v>
      </c>
      <c r="F8" s="6">
        <v>0.57638888888888895</v>
      </c>
      <c r="G8" s="6">
        <v>0.7583333333333333</v>
      </c>
      <c r="H8" s="7">
        <f t="shared" ref="H8:H11" si="2">IF(AND(E8&lt;&gt;"",  D8 &lt;&gt; "", G8 &lt;&gt; "", F8 &lt;&gt; ""),E8-D8+G8-F8,"")</f>
        <v>0.33680555555555547</v>
      </c>
      <c r="I8" s="8" t="s">
        <v>14</v>
      </c>
      <c r="J8" s="16"/>
    </row>
    <row r="9" spans="1:11" ht="15.75" hidden="1">
      <c r="A9" s="15"/>
      <c r="B9" s="14"/>
      <c r="C9" s="5">
        <f t="shared" ref="C9:C71" si="3">C4+7</f>
        <v>40996</v>
      </c>
      <c r="D9" s="6">
        <v>0.3576388888888889</v>
      </c>
      <c r="E9" s="6">
        <v>0.51388888888888895</v>
      </c>
      <c r="F9" s="6">
        <v>0.57638888888888895</v>
      </c>
      <c r="G9" s="6">
        <v>0.75138888888888899</v>
      </c>
      <c r="H9" s="7">
        <f t="shared" si="2"/>
        <v>0.33125000000000016</v>
      </c>
      <c r="I9" s="8" t="s">
        <v>15</v>
      </c>
      <c r="J9" s="16"/>
    </row>
    <row r="10" spans="1:11" ht="15.75" hidden="1">
      <c r="A10" s="15"/>
      <c r="B10" s="14"/>
      <c r="C10" s="5">
        <f t="shared" si="3"/>
        <v>40997</v>
      </c>
      <c r="D10" s="6">
        <v>0.36458333333333331</v>
      </c>
      <c r="E10" s="6">
        <v>0.54166666666666663</v>
      </c>
      <c r="F10" s="6">
        <v>0.55555555555555558</v>
      </c>
      <c r="G10" s="6">
        <v>0.75</v>
      </c>
      <c r="H10" s="7">
        <f t="shared" si="2"/>
        <v>0.37152777777777768</v>
      </c>
      <c r="I10" s="8" t="s">
        <v>16</v>
      </c>
      <c r="J10" s="16"/>
    </row>
    <row r="11" spans="1:11" ht="15.75" hidden="1">
      <c r="A11" s="15"/>
      <c r="B11" s="14"/>
      <c r="C11" s="5">
        <f t="shared" si="3"/>
        <v>40998</v>
      </c>
      <c r="D11" s="6">
        <v>0.3576388888888889</v>
      </c>
      <c r="E11" s="6">
        <v>0.51458333333333328</v>
      </c>
      <c r="F11" s="6">
        <v>0.55208333333333337</v>
      </c>
      <c r="G11" s="6">
        <v>0.74305555555555547</v>
      </c>
      <c r="H11" s="7">
        <f t="shared" si="2"/>
        <v>0.34791666666666654</v>
      </c>
      <c r="I11" s="8" t="s">
        <v>17</v>
      </c>
      <c r="J11" s="16"/>
    </row>
    <row r="12" spans="1:11" ht="15.75" hidden="1">
      <c r="A12" s="15"/>
      <c r="B12" s="14">
        <v>3</v>
      </c>
      <c r="C12" s="5">
        <f t="shared" si="3"/>
        <v>41001</v>
      </c>
      <c r="D12" s="6">
        <v>0.35486111111111113</v>
      </c>
      <c r="E12" s="6">
        <v>0.52083333333333337</v>
      </c>
      <c r="F12" s="6">
        <v>0.5625</v>
      </c>
      <c r="G12" s="6">
        <v>0.73819444444444438</v>
      </c>
      <c r="H12" s="7">
        <f>IF(AND(E12&lt;&gt;"",  D12 &lt;&gt; "", G12 &lt;&gt; "", F12 &lt;&gt; ""),E12-D12+G12-F12,"")</f>
        <v>0.34166666666666656</v>
      </c>
      <c r="I12" s="8" t="s">
        <v>18</v>
      </c>
      <c r="J12" s="16">
        <f t="shared" ref="J12:J72" si="4">IF(SUM(H12:H16) &lt;&gt; 0, SUM(H12:H16), "")</f>
        <v>1.3930555555555557</v>
      </c>
    </row>
    <row r="13" spans="1:11" ht="15.75" hidden="1">
      <c r="A13" s="15"/>
      <c r="B13" s="14"/>
      <c r="C13" s="5">
        <f t="shared" si="3"/>
        <v>41002</v>
      </c>
      <c r="D13" s="6">
        <v>0.36805555555555558</v>
      </c>
      <c r="E13" s="6">
        <v>0.51527777777777783</v>
      </c>
      <c r="F13" s="6">
        <v>0.5625</v>
      </c>
      <c r="G13" s="11">
        <v>0.75</v>
      </c>
      <c r="H13" s="7">
        <f>IF(AND(E13&lt;&gt;"",  D13 &lt;&gt; "", G13 &lt;&gt; "", F13 &lt;&gt; ""),E13-D13+G13-F13,"")</f>
        <v>0.33472222222222225</v>
      </c>
      <c r="I13" s="8" t="s">
        <v>19</v>
      </c>
      <c r="J13" s="16"/>
    </row>
    <row r="14" spans="1:11" ht="15.75" hidden="1">
      <c r="A14" s="15"/>
      <c r="B14" s="14"/>
      <c r="C14" s="5">
        <f t="shared" si="3"/>
        <v>41003</v>
      </c>
      <c r="D14" s="6">
        <v>0.3659722222222222</v>
      </c>
      <c r="E14" s="6">
        <v>0.51736111111111105</v>
      </c>
      <c r="F14" s="6">
        <v>0.55208333333333337</v>
      </c>
      <c r="G14" s="6">
        <v>0.75694444444444453</v>
      </c>
      <c r="H14" s="7">
        <f t="shared" ref="H14:H16" si="5">IF(AND(E14&lt;&gt;"",  D14 &lt;&gt; "", G14 &lt;&gt; "", F14 &lt;&gt; ""),E14-D14+G14-F14,"")</f>
        <v>0.35625000000000007</v>
      </c>
      <c r="I14" s="8" t="s">
        <v>20</v>
      </c>
      <c r="J14" s="16"/>
    </row>
    <row r="15" spans="1:11" ht="15.75" hidden="1">
      <c r="A15" s="15"/>
      <c r="B15" s="14"/>
      <c r="C15" s="5">
        <f t="shared" si="3"/>
        <v>41004</v>
      </c>
      <c r="D15" s="6">
        <v>0.36388888888888887</v>
      </c>
      <c r="E15" s="6">
        <v>0.52083333333333337</v>
      </c>
      <c r="F15" s="6">
        <v>0.54652777777777783</v>
      </c>
      <c r="G15" s="6">
        <v>0.75</v>
      </c>
      <c r="H15" s="7">
        <f t="shared" si="5"/>
        <v>0.36041666666666672</v>
      </c>
      <c r="I15" s="8" t="s">
        <v>21</v>
      </c>
      <c r="J15" s="16"/>
    </row>
    <row r="16" spans="1:11" ht="15.75" hidden="1">
      <c r="A16" s="15"/>
      <c r="B16" s="14"/>
      <c r="C16" s="5">
        <f t="shared" si="3"/>
        <v>41005</v>
      </c>
      <c r="D16" s="6"/>
      <c r="E16" s="6"/>
      <c r="F16" s="6"/>
      <c r="G16" s="6"/>
      <c r="H16" s="7" t="str">
        <f t="shared" si="5"/>
        <v/>
      </c>
      <c r="J16" s="16"/>
    </row>
    <row r="17" spans="1:10" ht="15.75" hidden="1">
      <c r="A17" s="15"/>
      <c r="B17" s="14">
        <v>4</v>
      </c>
      <c r="C17" s="5">
        <f t="shared" si="3"/>
        <v>41008</v>
      </c>
      <c r="D17" s="6"/>
      <c r="E17" s="6"/>
      <c r="F17" s="6"/>
      <c r="G17" s="6"/>
      <c r="H17" s="7" t="str">
        <f>IF(AND(E17&lt;&gt;"",  D17 &lt;&gt; "", G17 &lt;&gt; "", F17 &lt;&gt; ""),E17-D17+G17-F17,"")</f>
        <v/>
      </c>
      <c r="J17" s="16">
        <f t="shared" si="4"/>
        <v>1.4423611111111112</v>
      </c>
    </row>
    <row r="18" spans="1:10" ht="15.75" hidden="1">
      <c r="A18" s="15"/>
      <c r="B18" s="14"/>
      <c r="C18" s="5">
        <f t="shared" si="3"/>
        <v>41009</v>
      </c>
      <c r="D18" s="6">
        <v>0.35416666666666669</v>
      </c>
      <c r="E18" s="6">
        <v>0.51180555555555551</v>
      </c>
      <c r="F18" s="6">
        <v>0.5625</v>
      </c>
      <c r="G18" s="6">
        <v>0.76388888888888884</v>
      </c>
      <c r="H18" s="7">
        <f>IF(AND(E18&lt;&gt;"",  D18 &lt;&gt; "", G18 &lt;&gt; "", F18 &lt;&gt; ""),E18-D18+G18-F18,"")</f>
        <v>0.35902777777777772</v>
      </c>
      <c r="I18" s="8" t="s">
        <v>22</v>
      </c>
      <c r="J18" s="16"/>
    </row>
    <row r="19" spans="1:10" ht="15.75" hidden="1">
      <c r="A19" s="15"/>
      <c r="B19" s="14"/>
      <c r="C19" s="5">
        <f t="shared" si="3"/>
        <v>41010</v>
      </c>
      <c r="D19" s="6">
        <v>0.3611111111111111</v>
      </c>
      <c r="E19" s="6">
        <v>0.51388888888888895</v>
      </c>
      <c r="F19" s="6">
        <v>0.54999999999999993</v>
      </c>
      <c r="G19" s="6">
        <v>0.79375000000000007</v>
      </c>
      <c r="H19" s="7">
        <f t="shared" ref="H19:H21" si="6">IF(AND(E19&lt;&gt;"",  D19 &lt;&gt; "", G19 &lt;&gt; "", F19 &lt;&gt; ""),E19-D19+G19-F19,"")</f>
        <v>0.39652777777777792</v>
      </c>
      <c r="I19" s="8" t="s">
        <v>23</v>
      </c>
      <c r="J19" s="16"/>
    </row>
    <row r="20" spans="1:10" ht="15.75" hidden="1">
      <c r="A20" s="15"/>
      <c r="B20" s="14"/>
      <c r="C20" s="5">
        <f t="shared" si="3"/>
        <v>41011</v>
      </c>
      <c r="D20" s="6">
        <v>0.36458333333333331</v>
      </c>
      <c r="E20" s="6">
        <v>0.5083333333333333</v>
      </c>
      <c r="F20" s="6">
        <v>0.55555555555555558</v>
      </c>
      <c r="G20" s="6">
        <v>0.74444444444444446</v>
      </c>
      <c r="H20" s="7">
        <f t="shared" si="6"/>
        <v>0.33263888888888893</v>
      </c>
      <c r="I20" s="8" t="s">
        <v>24</v>
      </c>
      <c r="J20" s="16"/>
    </row>
    <row r="21" spans="1:10" ht="15.75" hidden="1">
      <c r="A21" s="15"/>
      <c r="B21" s="14"/>
      <c r="C21" s="5">
        <f t="shared" si="3"/>
        <v>41012</v>
      </c>
      <c r="D21" s="6">
        <v>0.3611111111111111</v>
      </c>
      <c r="E21" s="6">
        <v>0.52083333333333337</v>
      </c>
      <c r="F21" s="6">
        <v>0.53125</v>
      </c>
      <c r="G21" s="6">
        <v>0.72569444444444453</v>
      </c>
      <c r="H21" s="7">
        <f t="shared" si="6"/>
        <v>0.35416666666666674</v>
      </c>
      <c r="I21" s="8" t="s">
        <v>26</v>
      </c>
      <c r="J21" s="16"/>
    </row>
    <row r="22" spans="1:10">
      <c r="A22" s="14">
        <v>2</v>
      </c>
      <c r="B22" s="14">
        <v>5</v>
      </c>
      <c r="C22" s="5">
        <f t="shared" si="3"/>
        <v>41015</v>
      </c>
      <c r="D22" s="6">
        <v>0.36458333333333331</v>
      </c>
      <c r="E22" s="6">
        <v>0.51597222222222217</v>
      </c>
      <c r="F22" s="6">
        <v>0.55347222222222225</v>
      </c>
      <c r="G22" s="6">
        <v>0.74583333333333324</v>
      </c>
      <c r="H22" s="7">
        <f>IF(AND(E22&lt;&gt;"",  D22 &lt;&gt; "", G22 &lt;&gt; "", F22 &lt;&gt; ""),E22-D22+G22-F22,"")</f>
        <v>0.34374999999999989</v>
      </c>
      <c r="I22" s="8" t="s">
        <v>27</v>
      </c>
      <c r="J22" s="16">
        <f t="shared" si="4"/>
        <v>1.8034722222222221</v>
      </c>
    </row>
    <row r="23" spans="1:10">
      <c r="A23" s="14"/>
      <c r="B23" s="14"/>
      <c r="C23" s="5">
        <f t="shared" si="3"/>
        <v>41016</v>
      </c>
      <c r="D23" s="6">
        <v>0.36458333333333331</v>
      </c>
      <c r="E23" s="6">
        <v>0.51874999999999993</v>
      </c>
      <c r="F23" s="6">
        <v>0.54861111111111105</v>
      </c>
      <c r="G23" s="6">
        <v>0.74444444444444446</v>
      </c>
      <c r="H23" s="7">
        <f t="shared" ref="H23:H26" si="7">IF(AND(E23&lt;&gt;"",  D23 &lt;&gt; "", G23 &lt;&gt; "", F23 &lt;&gt; ""),E23-D23+G23-F23,"")</f>
        <v>0.35</v>
      </c>
      <c r="I23" s="8" t="s">
        <v>27</v>
      </c>
      <c r="J23" s="16"/>
    </row>
    <row r="24" spans="1:10">
      <c r="A24" s="14"/>
      <c r="B24" s="14"/>
      <c r="C24" s="5">
        <f t="shared" si="3"/>
        <v>41017</v>
      </c>
      <c r="D24" s="6">
        <v>0.36458333333333331</v>
      </c>
      <c r="E24" s="6">
        <v>0.52083333333333337</v>
      </c>
      <c r="F24" s="6">
        <v>0.54166666666666663</v>
      </c>
      <c r="G24" s="6">
        <v>0.77847222222222223</v>
      </c>
      <c r="H24" s="7">
        <f t="shared" si="7"/>
        <v>0.3930555555555556</v>
      </c>
      <c r="I24" s="8" t="s">
        <v>28</v>
      </c>
      <c r="J24" s="16"/>
    </row>
    <row r="25" spans="1:10">
      <c r="A25" s="14"/>
      <c r="B25" s="14"/>
      <c r="C25" s="5">
        <f t="shared" si="3"/>
        <v>41018</v>
      </c>
      <c r="D25" s="6">
        <v>0.35416666666666669</v>
      </c>
      <c r="E25" s="6">
        <v>0.52083333333333337</v>
      </c>
      <c r="F25" s="6">
        <v>0.5493055555555556</v>
      </c>
      <c r="G25" s="6">
        <v>0.72430555555555554</v>
      </c>
      <c r="H25" s="7">
        <f t="shared" si="7"/>
        <v>0.34166666666666667</v>
      </c>
      <c r="I25" s="8" t="s">
        <v>29</v>
      </c>
      <c r="J25" s="16"/>
    </row>
    <row r="26" spans="1:10">
      <c r="A26" s="14"/>
      <c r="B26" s="14"/>
      <c r="C26" s="5">
        <f t="shared" si="3"/>
        <v>41019</v>
      </c>
      <c r="D26" s="6">
        <v>0.33333333333333331</v>
      </c>
      <c r="E26" s="6">
        <v>0.53125</v>
      </c>
      <c r="F26" s="6">
        <v>0.55763888888888891</v>
      </c>
      <c r="G26" s="6">
        <v>0.73472222222222217</v>
      </c>
      <c r="H26" s="7">
        <f t="shared" si="7"/>
        <v>0.37499999999999989</v>
      </c>
      <c r="I26" s="8" t="s">
        <v>31</v>
      </c>
      <c r="J26" s="16"/>
    </row>
    <row r="27" spans="1:10" ht="15.75" hidden="1">
      <c r="A27" s="14"/>
      <c r="B27" s="14">
        <v>6</v>
      </c>
      <c r="C27" s="5">
        <f t="shared" si="3"/>
        <v>41022</v>
      </c>
      <c r="D27" s="6"/>
      <c r="E27" s="6"/>
      <c r="F27" s="6"/>
      <c r="G27" s="6"/>
      <c r="H27" s="7" t="str">
        <f>IF(AND(E27&lt;&gt;"",  D27 &lt;&gt; "", G27 &lt;&gt; "", F27 &lt;&gt; ""),E27-D27+G27-F27,"")</f>
        <v/>
      </c>
      <c r="J27" s="16" t="str">
        <f t="shared" si="4"/>
        <v/>
      </c>
    </row>
    <row r="28" spans="1:10" ht="15.75" hidden="1">
      <c r="A28" s="14"/>
      <c r="B28" s="14"/>
      <c r="C28" s="5">
        <f t="shared" si="3"/>
        <v>41023</v>
      </c>
      <c r="D28" s="6"/>
      <c r="E28" s="6"/>
      <c r="F28" s="6"/>
      <c r="G28" s="6"/>
      <c r="H28" s="7" t="str">
        <f t="shared" ref="H28:H31" si="8">IF(AND(E28&lt;&gt;"",  D28 &lt;&gt; "", G28 &lt;&gt; "", F28 &lt;&gt; ""),E28-D28+G28-F28,"")</f>
        <v/>
      </c>
      <c r="J28" s="16"/>
    </row>
    <row r="29" spans="1:10" ht="15.75" hidden="1">
      <c r="A29" s="14"/>
      <c r="B29" s="14"/>
      <c r="C29" s="5">
        <f t="shared" si="3"/>
        <v>41024</v>
      </c>
      <c r="D29" s="6"/>
      <c r="E29" s="6"/>
      <c r="F29" s="6"/>
      <c r="G29" s="6"/>
      <c r="H29" s="7" t="str">
        <f t="shared" si="8"/>
        <v/>
      </c>
      <c r="J29" s="16"/>
    </row>
    <row r="30" spans="1:10" ht="15.75" hidden="1">
      <c r="A30" s="14"/>
      <c r="B30" s="14"/>
      <c r="C30" s="5">
        <f t="shared" si="3"/>
        <v>41025</v>
      </c>
      <c r="D30" s="6"/>
      <c r="E30" s="6"/>
      <c r="F30" s="6"/>
      <c r="G30" s="6"/>
      <c r="H30" s="7" t="str">
        <f t="shared" si="8"/>
        <v/>
      </c>
      <c r="J30" s="16"/>
    </row>
    <row r="31" spans="1:10" ht="15.75" hidden="1">
      <c r="A31" s="14"/>
      <c r="B31" s="14"/>
      <c r="C31" s="5">
        <f t="shared" si="3"/>
        <v>41026</v>
      </c>
      <c r="D31" s="6"/>
      <c r="E31" s="6"/>
      <c r="F31" s="6"/>
      <c r="G31" s="6"/>
      <c r="H31" s="7" t="str">
        <f t="shared" si="8"/>
        <v/>
      </c>
      <c r="J31" s="16"/>
    </row>
    <row r="32" spans="1:10" ht="15.75" hidden="1">
      <c r="A32" s="14"/>
      <c r="B32" s="14">
        <v>7</v>
      </c>
      <c r="C32" s="5">
        <f t="shared" si="3"/>
        <v>41029</v>
      </c>
      <c r="D32" s="6"/>
      <c r="E32" s="6"/>
      <c r="F32" s="6"/>
      <c r="G32" s="6"/>
      <c r="H32" s="7" t="str">
        <f>IF(AND(E32&lt;&gt;"",  D32 &lt;&gt; "", G32 &lt;&gt; "", F32 &lt;&gt; ""),E32-D32+G32-F32,"")</f>
        <v/>
      </c>
      <c r="J32" s="16" t="str">
        <f t="shared" si="4"/>
        <v/>
      </c>
    </row>
    <row r="33" spans="1:10" ht="15.75" hidden="1">
      <c r="A33" s="14"/>
      <c r="B33" s="14"/>
      <c r="C33" s="5">
        <f t="shared" si="3"/>
        <v>41030</v>
      </c>
      <c r="D33" s="6"/>
      <c r="E33" s="6"/>
      <c r="F33" s="6"/>
      <c r="G33" s="6"/>
      <c r="H33" s="7" t="str">
        <f t="shared" ref="H33:H36" si="9">IF(AND(E33&lt;&gt;"",  D33 &lt;&gt; "", G33 &lt;&gt; "", F33 &lt;&gt; ""),E33-D33+G33-F33,"")</f>
        <v/>
      </c>
      <c r="J33" s="16"/>
    </row>
    <row r="34" spans="1:10" ht="15.75" hidden="1">
      <c r="A34" s="14"/>
      <c r="B34" s="14"/>
      <c r="C34" s="5">
        <f t="shared" si="3"/>
        <v>41031</v>
      </c>
      <c r="D34" s="6"/>
      <c r="E34" s="6"/>
      <c r="F34" s="6"/>
      <c r="G34" s="6"/>
      <c r="H34" s="7" t="str">
        <f t="shared" si="9"/>
        <v/>
      </c>
      <c r="J34" s="16"/>
    </row>
    <row r="35" spans="1:10" ht="15.75" hidden="1">
      <c r="A35" s="14"/>
      <c r="B35" s="14"/>
      <c r="C35" s="5">
        <f t="shared" si="3"/>
        <v>41032</v>
      </c>
      <c r="D35" s="6"/>
      <c r="E35" s="6"/>
      <c r="F35" s="6"/>
      <c r="G35" s="6"/>
      <c r="H35" s="7" t="str">
        <f t="shared" si="9"/>
        <v/>
      </c>
      <c r="J35" s="16"/>
    </row>
    <row r="36" spans="1:10" ht="15.75" hidden="1">
      <c r="A36" s="14"/>
      <c r="B36" s="14"/>
      <c r="C36" s="5">
        <f t="shared" si="3"/>
        <v>41033</v>
      </c>
      <c r="D36" s="6"/>
      <c r="E36" s="6"/>
      <c r="F36" s="6"/>
      <c r="G36" s="6"/>
      <c r="H36" s="7" t="str">
        <f t="shared" si="9"/>
        <v/>
      </c>
      <c r="J36" s="16"/>
    </row>
    <row r="37" spans="1:10" ht="15.75" hidden="1">
      <c r="A37" s="14"/>
      <c r="B37" s="14">
        <v>8</v>
      </c>
      <c r="C37" s="5">
        <f t="shared" si="3"/>
        <v>41036</v>
      </c>
      <c r="D37" s="6"/>
      <c r="E37" s="6"/>
      <c r="F37" s="6"/>
      <c r="G37" s="6"/>
      <c r="H37" s="7" t="str">
        <f>IF(AND(E37&lt;&gt;"",  D37 &lt;&gt; "", G37 &lt;&gt; "", F37 &lt;&gt; ""),E37-D37+G37-F37,"")</f>
        <v/>
      </c>
      <c r="J37" s="16" t="str">
        <f t="shared" si="4"/>
        <v/>
      </c>
    </row>
    <row r="38" spans="1:10" ht="15.75" hidden="1">
      <c r="A38" s="14"/>
      <c r="B38" s="14"/>
      <c r="C38" s="5">
        <f t="shared" si="3"/>
        <v>41037</v>
      </c>
      <c r="D38" s="6"/>
      <c r="E38" s="6"/>
      <c r="F38" s="6"/>
      <c r="G38" s="6"/>
      <c r="H38" s="7" t="str">
        <f t="shared" ref="H38:H41" si="10">IF(AND(E38&lt;&gt;"",  D38 &lt;&gt; "", G38 &lt;&gt; "", F38 &lt;&gt; ""),E38-D38+G38-F38,"")</f>
        <v/>
      </c>
      <c r="J38" s="16"/>
    </row>
    <row r="39" spans="1:10" ht="15.75" hidden="1">
      <c r="A39" s="14"/>
      <c r="B39" s="14"/>
      <c r="C39" s="5">
        <f t="shared" si="3"/>
        <v>41038</v>
      </c>
      <c r="D39" s="6"/>
      <c r="E39" s="6"/>
      <c r="F39" s="6"/>
      <c r="G39" s="6"/>
      <c r="H39" s="7" t="str">
        <f t="shared" si="10"/>
        <v/>
      </c>
      <c r="J39" s="16"/>
    </row>
    <row r="40" spans="1:10" ht="15.75" hidden="1">
      <c r="A40" s="14"/>
      <c r="B40" s="14"/>
      <c r="C40" s="5">
        <f t="shared" si="3"/>
        <v>41039</v>
      </c>
      <c r="D40" s="6"/>
      <c r="E40" s="6"/>
      <c r="F40" s="6"/>
      <c r="G40" s="6"/>
      <c r="H40" s="7" t="str">
        <f t="shared" si="10"/>
        <v/>
      </c>
      <c r="J40" s="16"/>
    </row>
    <row r="41" spans="1:10" ht="15.75" hidden="1">
      <c r="A41" s="14"/>
      <c r="B41" s="14"/>
      <c r="C41" s="5">
        <f t="shared" si="3"/>
        <v>41040</v>
      </c>
      <c r="D41" s="6"/>
      <c r="E41" s="6"/>
      <c r="F41" s="6"/>
      <c r="G41" s="6"/>
      <c r="H41" s="7" t="str">
        <f t="shared" si="10"/>
        <v/>
      </c>
      <c r="J41" s="16"/>
    </row>
    <row r="42" spans="1:10" ht="15.75" hidden="1">
      <c r="A42" s="14">
        <v>3</v>
      </c>
      <c r="B42" s="14">
        <v>9</v>
      </c>
      <c r="C42" s="5">
        <f t="shared" si="3"/>
        <v>41043</v>
      </c>
      <c r="D42" s="6"/>
      <c r="E42" s="6"/>
      <c r="F42" s="6"/>
      <c r="G42" s="6"/>
      <c r="H42" s="7" t="str">
        <f>IF(AND(E42&lt;&gt;"",  D42 &lt;&gt; "", G42 &lt;&gt; "", F42 &lt;&gt; ""),E42-D42+G42-F42,"")</f>
        <v/>
      </c>
      <c r="J42" s="16" t="str">
        <f t="shared" si="4"/>
        <v/>
      </c>
    </row>
    <row r="43" spans="1:10" ht="15.75" hidden="1">
      <c r="A43" s="14"/>
      <c r="B43" s="14"/>
      <c r="C43" s="5">
        <f t="shared" si="3"/>
        <v>41044</v>
      </c>
      <c r="D43" s="6"/>
      <c r="E43" s="6"/>
      <c r="F43" s="6"/>
      <c r="G43" s="6"/>
      <c r="H43" s="7" t="str">
        <f t="shared" ref="H43:H46" si="11">IF(AND(E43&lt;&gt;"",  D43 &lt;&gt; "", G43 &lt;&gt; "", F43 &lt;&gt; ""),E43-D43+G43-F43,"")</f>
        <v/>
      </c>
      <c r="J43" s="16"/>
    </row>
    <row r="44" spans="1:10" ht="15.75" hidden="1">
      <c r="A44" s="14"/>
      <c r="B44" s="14"/>
      <c r="C44" s="5">
        <f t="shared" si="3"/>
        <v>41045</v>
      </c>
      <c r="D44" s="6"/>
      <c r="E44" s="6"/>
      <c r="F44" s="6"/>
      <c r="G44" s="6"/>
      <c r="H44" s="7" t="str">
        <f t="shared" si="11"/>
        <v/>
      </c>
      <c r="J44" s="16"/>
    </row>
    <row r="45" spans="1:10" ht="15.75" hidden="1">
      <c r="A45" s="14"/>
      <c r="B45" s="14"/>
      <c r="C45" s="5">
        <f t="shared" si="3"/>
        <v>41046</v>
      </c>
      <c r="D45" s="6"/>
      <c r="E45" s="6"/>
      <c r="F45" s="6"/>
      <c r="G45" s="6"/>
      <c r="H45" s="7" t="str">
        <f t="shared" si="11"/>
        <v/>
      </c>
      <c r="J45" s="16"/>
    </row>
    <row r="46" spans="1:10" ht="15.75" hidden="1">
      <c r="A46" s="14"/>
      <c r="B46" s="14"/>
      <c r="C46" s="5">
        <f t="shared" si="3"/>
        <v>41047</v>
      </c>
      <c r="D46" s="6"/>
      <c r="E46" s="6"/>
      <c r="F46" s="6"/>
      <c r="G46" s="6"/>
      <c r="H46" s="7" t="str">
        <f t="shared" si="11"/>
        <v/>
      </c>
      <c r="J46" s="16"/>
    </row>
    <row r="47" spans="1:10" ht="15.75" hidden="1">
      <c r="A47" s="14"/>
      <c r="B47" s="14">
        <v>10</v>
      </c>
      <c r="C47" s="5">
        <f t="shared" si="3"/>
        <v>41050</v>
      </c>
      <c r="D47" s="6"/>
      <c r="E47" s="6"/>
      <c r="F47" s="6"/>
      <c r="G47" s="6"/>
      <c r="H47" s="7" t="str">
        <f>IF(AND(E47&lt;&gt;"",  D47 &lt;&gt; "", G47 &lt;&gt; "", F47 &lt;&gt; ""),E47-D47+G47-F47,"")</f>
        <v/>
      </c>
      <c r="J47" s="16" t="str">
        <f t="shared" si="4"/>
        <v/>
      </c>
    </row>
    <row r="48" spans="1:10" ht="15.75" hidden="1">
      <c r="A48" s="14"/>
      <c r="B48" s="14"/>
      <c r="C48" s="5">
        <f t="shared" si="3"/>
        <v>41051</v>
      </c>
      <c r="D48" s="6"/>
      <c r="E48" s="6"/>
      <c r="F48" s="6"/>
      <c r="G48" s="6"/>
      <c r="H48" s="7" t="str">
        <f t="shared" ref="H48:H51" si="12">IF(AND(E48&lt;&gt;"",  D48 &lt;&gt; "", G48 &lt;&gt; "", F48 &lt;&gt; ""),E48-D48+G48-F48,"")</f>
        <v/>
      </c>
      <c r="J48" s="16"/>
    </row>
    <row r="49" spans="1:10" ht="15.75" hidden="1">
      <c r="A49" s="14"/>
      <c r="B49" s="14"/>
      <c r="C49" s="5">
        <f t="shared" si="3"/>
        <v>41052</v>
      </c>
      <c r="D49" s="6"/>
      <c r="E49" s="6"/>
      <c r="F49" s="6"/>
      <c r="G49" s="6"/>
      <c r="H49" s="7" t="str">
        <f t="shared" si="12"/>
        <v/>
      </c>
      <c r="J49" s="16"/>
    </row>
    <row r="50" spans="1:10" ht="15.75" hidden="1">
      <c r="A50" s="14"/>
      <c r="B50" s="14"/>
      <c r="C50" s="5">
        <f t="shared" si="3"/>
        <v>41053</v>
      </c>
      <c r="D50" s="6"/>
      <c r="E50" s="6"/>
      <c r="F50" s="6"/>
      <c r="G50" s="6"/>
      <c r="H50" s="7" t="str">
        <f t="shared" si="12"/>
        <v/>
      </c>
      <c r="J50" s="16"/>
    </row>
    <row r="51" spans="1:10" ht="15.75" hidden="1">
      <c r="A51" s="14"/>
      <c r="B51" s="14"/>
      <c r="C51" s="5">
        <f t="shared" si="3"/>
        <v>41054</v>
      </c>
      <c r="D51" s="6"/>
      <c r="E51" s="6"/>
      <c r="F51" s="6"/>
      <c r="G51" s="6"/>
      <c r="H51" s="7" t="str">
        <f t="shared" si="12"/>
        <v/>
      </c>
      <c r="J51" s="16"/>
    </row>
    <row r="52" spans="1:10" ht="15.75" hidden="1">
      <c r="A52" s="14"/>
      <c r="B52" s="14">
        <v>11</v>
      </c>
      <c r="C52" s="5">
        <f t="shared" si="3"/>
        <v>41057</v>
      </c>
      <c r="D52" s="6"/>
      <c r="E52" s="6"/>
      <c r="F52" s="6"/>
      <c r="G52" s="6"/>
      <c r="H52" s="7" t="str">
        <f>IF(AND(E52&lt;&gt;"",  D52 &lt;&gt; "", G52 &lt;&gt; "", F52 &lt;&gt; ""),E52-D52+G52-F52,"")</f>
        <v/>
      </c>
      <c r="J52" s="16" t="str">
        <f t="shared" si="4"/>
        <v/>
      </c>
    </row>
    <row r="53" spans="1:10" ht="15.75" hidden="1">
      <c r="A53" s="14"/>
      <c r="B53" s="14"/>
      <c r="C53" s="5">
        <f t="shared" si="3"/>
        <v>41058</v>
      </c>
      <c r="D53" s="6"/>
      <c r="E53" s="6"/>
      <c r="F53" s="6"/>
      <c r="G53" s="6"/>
      <c r="H53" s="7" t="str">
        <f t="shared" ref="H53:H56" si="13">IF(AND(E53&lt;&gt;"",  D53 &lt;&gt; "", G53 &lt;&gt; "", F53 &lt;&gt; ""),E53-D53+G53-F53,"")</f>
        <v/>
      </c>
      <c r="J53" s="16"/>
    </row>
    <row r="54" spans="1:10" ht="15.75" hidden="1">
      <c r="A54" s="14"/>
      <c r="B54" s="14"/>
      <c r="C54" s="5">
        <f t="shared" si="3"/>
        <v>41059</v>
      </c>
      <c r="D54" s="6"/>
      <c r="E54" s="6"/>
      <c r="F54" s="6"/>
      <c r="G54" s="6"/>
      <c r="H54" s="7" t="str">
        <f t="shared" si="13"/>
        <v/>
      </c>
      <c r="J54" s="16"/>
    </row>
    <row r="55" spans="1:10" ht="15.75" hidden="1">
      <c r="A55" s="14"/>
      <c r="B55" s="14"/>
      <c r="C55" s="5">
        <f t="shared" si="3"/>
        <v>41060</v>
      </c>
      <c r="D55" s="6"/>
      <c r="E55" s="6"/>
      <c r="F55" s="6"/>
      <c r="G55" s="6"/>
      <c r="H55" s="7" t="str">
        <f t="shared" si="13"/>
        <v/>
      </c>
      <c r="J55" s="16"/>
    </row>
    <row r="56" spans="1:10" ht="15.75" hidden="1">
      <c r="A56" s="14"/>
      <c r="B56" s="14"/>
      <c r="C56" s="5">
        <f t="shared" si="3"/>
        <v>41061</v>
      </c>
      <c r="D56" s="6"/>
      <c r="E56" s="6"/>
      <c r="F56" s="6"/>
      <c r="G56" s="6"/>
      <c r="H56" s="7" t="str">
        <f t="shared" si="13"/>
        <v/>
      </c>
      <c r="J56" s="16"/>
    </row>
    <row r="57" spans="1:10" ht="15.75" hidden="1">
      <c r="A57" s="14"/>
      <c r="B57" s="14">
        <v>12</v>
      </c>
      <c r="C57" s="5">
        <f t="shared" si="3"/>
        <v>41064</v>
      </c>
      <c r="D57" s="6"/>
      <c r="E57" s="6"/>
      <c r="F57" s="6"/>
      <c r="G57" s="6"/>
      <c r="H57" s="7" t="str">
        <f>IF(AND(E57&lt;&gt;"",  D57 &lt;&gt; "", G57 &lt;&gt; "", F57 &lt;&gt; ""),E57-D57+G57-F57,"")</f>
        <v/>
      </c>
      <c r="J57" s="16" t="str">
        <f t="shared" si="4"/>
        <v/>
      </c>
    </row>
    <row r="58" spans="1:10" ht="15.75" hidden="1">
      <c r="A58" s="14"/>
      <c r="B58" s="14"/>
      <c r="C58" s="5">
        <f t="shared" si="3"/>
        <v>41065</v>
      </c>
      <c r="D58" s="6"/>
      <c r="E58" s="6"/>
      <c r="F58" s="6"/>
      <c r="G58" s="6"/>
      <c r="H58" s="7" t="str">
        <f t="shared" ref="H58:H61" si="14">IF(AND(E58&lt;&gt;"",  D58 &lt;&gt; "", G58 &lt;&gt; "", F58 &lt;&gt; ""),E58-D58+G58-F58,"")</f>
        <v/>
      </c>
      <c r="J58" s="16"/>
    </row>
    <row r="59" spans="1:10" ht="15.75" hidden="1">
      <c r="A59" s="14"/>
      <c r="B59" s="14"/>
      <c r="C59" s="5">
        <f t="shared" si="3"/>
        <v>41066</v>
      </c>
      <c r="D59" s="6"/>
      <c r="E59" s="6"/>
      <c r="F59" s="6"/>
      <c r="G59" s="6"/>
      <c r="H59" s="7" t="str">
        <f t="shared" si="14"/>
        <v/>
      </c>
      <c r="J59" s="16"/>
    </row>
    <row r="60" spans="1:10" ht="15.75" hidden="1">
      <c r="A60" s="14"/>
      <c r="B60" s="14"/>
      <c r="C60" s="5">
        <f t="shared" si="3"/>
        <v>41067</v>
      </c>
      <c r="D60" s="6"/>
      <c r="E60" s="6"/>
      <c r="F60" s="6"/>
      <c r="G60" s="6"/>
      <c r="H60" s="7" t="str">
        <f t="shared" si="14"/>
        <v/>
      </c>
      <c r="J60" s="16"/>
    </row>
    <row r="61" spans="1:10" ht="15.75" hidden="1">
      <c r="A61" s="14"/>
      <c r="B61" s="14"/>
      <c r="C61" s="5">
        <f t="shared" si="3"/>
        <v>41068</v>
      </c>
      <c r="D61" s="6"/>
      <c r="E61" s="6"/>
      <c r="F61" s="6"/>
      <c r="G61" s="6"/>
      <c r="H61" s="7" t="str">
        <f t="shared" si="14"/>
        <v/>
      </c>
      <c r="J61" s="16"/>
    </row>
    <row r="62" spans="1:10" ht="15.75" hidden="1">
      <c r="A62" s="14">
        <v>4</v>
      </c>
      <c r="B62" s="14">
        <v>13</v>
      </c>
      <c r="C62" s="5">
        <f t="shared" si="3"/>
        <v>41071</v>
      </c>
      <c r="D62" s="6"/>
      <c r="E62" s="6"/>
      <c r="F62" s="6"/>
      <c r="G62" s="6"/>
      <c r="H62" s="7" t="str">
        <f>IF(AND(E62&lt;&gt;"",  D62 &lt;&gt; "", G62 &lt;&gt; "", F62 &lt;&gt; ""),E62-D62+G62-F62,"")</f>
        <v/>
      </c>
      <c r="J62" s="16" t="str">
        <f t="shared" si="4"/>
        <v/>
      </c>
    </row>
    <row r="63" spans="1:10" ht="15.75" hidden="1">
      <c r="A63" s="14"/>
      <c r="B63" s="14"/>
      <c r="C63" s="5">
        <f t="shared" si="3"/>
        <v>41072</v>
      </c>
      <c r="D63" s="6"/>
      <c r="E63" s="6"/>
      <c r="F63" s="6"/>
      <c r="G63" s="6"/>
      <c r="H63" s="7" t="str">
        <f t="shared" ref="H63:H66" si="15">IF(AND(E63&lt;&gt;"",  D63 &lt;&gt; "", G63 &lt;&gt; "", F63 &lt;&gt; ""),E63-D63+G63-F63,"")</f>
        <v/>
      </c>
      <c r="J63" s="16"/>
    </row>
    <row r="64" spans="1:10" ht="15.75" hidden="1">
      <c r="A64" s="14"/>
      <c r="B64" s="14"/>
      <c r="C64" s="5">
        <f t="shared" si="3"/>
        <v>41073</v>
      </c>
      <c r="D64" s="6"/>
      <c r="E64" s="6"/>
      <c r="F64" s="6"/>
      <c r="G64" s="6"/>
      <c r="H64" s="7" t="str">
        <f t="shared" si="15"/>
        <v/>
      </c>
      <c r="J64" s="16"/>
    </row>
    <row r="65" spans="1:10" ht="15.75" hidden="1">
      <c r="A65" s="14"/>
      <c r="B65" s="14"/>
      <c r="C65" s="5">
        <f t="shared" si="3"/>
        <v>41074</v>
      </c>
      <c r="D65" s="6"/>
      <c r="E65" s="6"/>
      <c r="F65" s="6"/>
      <c r="G65" s="6"/>
      <c r="H65" s="7" t="str">
        <f t="shared" si="15"/>
        <v/>
      </c>
      <c r="J65" s="16"/>
    </row>
    <row r="66" spans="1:10" ht="15.75" hidden="1">
      <c r="A66" s="14"/>
      <c r="B66" s="14"/>
      <c r="C66" s="5">
        <f t="shared" si="3"/>
        <v>41075</v>
      </c>
      <c r="D66" s="6"/>
      <c r="E66" s="6"/>
      <c r="F66" s="6"/>
      <c r="G66" s="6"/>
      <c r="H66" s="7" t="str">
        <f t="shared" si="15"/>
        <v/>
      </c>
      <c r="J66" s="16"/>
    </row>
    <row r="67" spans="1:10" ht="15.75" hidden="1">
      <c r="A67" s="14"/>
      <c r="B67" s="14">
        <v>14</v>
      </c>
      <c r="C67" s="5">
        <f t="shared" si="3"/>
        <v>41078</v>
      </c>
      <c r="D67" s="6"/>
      <c r="E67" s="6"/>
      <c r="F67" s="6"/>
      <c r="G67" s="6"/>
      <c r="H67" s="7" t="str">
        <f t="shared" ref="H67:H130" si="16">IF(AND(E67&lt;&gt;"",  D67 &lt;&gt; "", G67 &lt;&gt; "", F67 &lt;&gt; ""),E67-D67+G67-F67,"")</f>
        <v/>
      </c>
      <c r="J67" s="16" t="str">
        <f t="shared" si="4"/>
        <v/>
      </c>
    </row>
    <row r="68" spans="1:10" ht="15.75" hidden="1">
      <c r="A68" s="14"/>
      <c r="B68" s="14"/>
      <c r="C68" s="5">
        <f t="shared" si="3"/>
        <v>41079</v>
      </c>
      <c r="D68" s="6"/>
      <c r="E68" s="6"/>
      <c r="F68" s="6"/>
      <c r="G68" s="6"/>
      <c r="H68" s="7" t="str">
        <f t="shared" si="16"/>
        <v/>
      </c>
      <c r="J68" s="16"/>
    </row>
    <row r="69" spans="1:10" ht="15.75" hidden="1">
      <c r="A69" s="14"/>
      <c r="B69" s="14"/>
      <c r="C69" s="5">
        <f t="shared" si="3"/>
        <v>41080</v>
      </c>
      <c r="D69" s="6"/>
      <c r="E69" s="6"/>
      <c r="F69" s="6"/>
      <c r="G69" s="6"/>
      <c r="H69" s="7" t="str">
        <f t="shared" si="16"/>
        <v/>
      </c>
      <c r="J69" s="16"/>
    </row>
    <row r="70" spans="1:10" ht="15.75" hidden="1">
      <c r="A70" s="14"/>
      <c r="B70" s="14"/>
      <c r="C70" s="5">
        <f t="shared" si="3"/>
        <v>41081</v>
      </c>
      <c r="D70" s="6"/>
      <c r="E70" s="6"/>
      <c r="F70" s="6"/>
      <c r="G70" s="6"/>
      <c r="H70" s="7" t="str">
        <f t="shared" si="16"/>
        <v/>
      </c>
      <c r="J70" s="16"/>
    </row>
    <row r="71" spans="1:10" ht="15.75" hidden="1">
      <c r="A71" s="14"/>
      <c r="B71" s="14"/>
      <c r="C71" s="5">
        <f t="shared" si="3"/>
        <v>41082</v>
      </c>
      <c r="D71" s="6"/>
      <c r="E71" s="6"/>
      <c r="F71" s="6"/>
      <c r="G71" s="6"/>
      <c r="H71" s="7" t="str">
        <f t="shared" si="16"/>
        <v/>
      </c>
      <c r="J71" s="16"/>
    </row>
    <row r="72" spans="1:10" ht="15.75" hidden="1">
      <c r="A72" s="14"/>
      <c r="B72" s="14">
        <v>15</v>
      </c>
      <c r="C72" s="5">
        <f t="shared" ref="C72:C131" si="17">C67+7</f>
        <v>41085</v>
      </c>
      <c r="D72" s="6"/>
      <c r="E72" s="6"/>
      <c r="F72" s="6"/>
      <c r="G72" s="6"/>
      <c r="H72" s="7" t="str">
        <f t="shared" si="16"/>
        <v/>
      </c>
      <c r="J72" s="16" t="str">
        <f t="shared" si="4"/>
        <v/>
      </c>
    </row>
    <row r="73" spans="1:10" ht="15.75" hidden="1">
      <c r="A73" s="14"/>
      <c r="B73" s="14"/>
      <c r="C73" s="5">
        <f t="shared" si="17"/>
        <v>41086</v>
      </c>
      <c r="D73" s="6"/>
      <c r="E73" s="6"/>
      <c r="F73" s="6"/>
      <c r="G73" s="6"/>
      <c r="H73" s="7" t="str">
        <f t="shared" si="16"/>
        <v/>
      </c>
      <c r="J73" s="16"/>
    </row>
    <row r="74" spans="1:10" ht="15.75" hidden="1">
      <c r="A74" s="14"/>
      <c r="B74" s="14"/>
      <c r="C74" s="5">
        <f t="shared" si="17"/>
        <v>41087</v>
      </c>
      <c r="D74" s="6"/>
      <c r="E74" s="6"/>
      <c r="F74" s="6"/>
      <c r="G74" s="6"/>
      <c r="H74" s="7" t="str">
        <f t="shared" si="16"/>
        <v/>
      </c>
      <c r="J74" s="16"/>
    </row>
    <row r="75" spans="1:10" ht="15.75" hidden="1">
      <c r="A75" s="14"/>
      <c r="B75" s="14"/>
      <c r="C75" s="5">
        <f t="shared" si="17"/>
        <v>41088</v>
      </c>
      <c r="D75" s="6"/>
      <c r="E75" s="6"/>
      <c r="F75" s="6"/>
      <c r="G75" s="6"/>
      <c r="H75" s="7" t="str">
        <f t="shared" si="16"/>
        <v/>
      </c>
      <c r="J75" s="16"/>
    </row>
    <row r="76" spans="1:10" ht="15.75" hidden="1">
      <c r="A76" s="14"/>
      <c r="B76" s="14"/>
      <c r="C76" s="5">
        <f t="shared" si="17"/>
        <v>41089</v>
      </c>
      <c r="D76" s="6"/>
      <c r="E76" s="6"/>
      <c r="F76" s="6"/>
      <c r="G76" s="6"/>
      <c r="H76" s="7" t="str">
        <f t="shared" si="16"/>
        <v/>
      </c>
      <c r="J76" s="16"/>
    </row>
    <row r="77" spans="1:10" ht="15.75" hidden="1">
      <c r="A77" s="14"/>
      <c r="B77" s="14">
        <v>16</v>
      </c>
      <c r="C77" s="5">
        <f t="shared" si="17"/>
        <v>41092</v>
      </c>
      <c r="D77" s="6"/>
      <c r="E77" s="6"/>
      <c r="F77" s="6"/>
      <c r="G77" s="6"/>
      <c r="H77" s="7" t="str">
        <f t="shared" si="16"/>
        <v/>
      </c>
      <c r="J77" s="16" t="str">
        <f t="shared" ref="J77:J127" si="18">IF(SUM(H77:H81) &lt;&gt; 0, SUM(H77:H81), "")</f>
        <v/>
      </c>
    </row>
    <row r="78" spans="1:10" ht="15.75" hidden="1">
      <c r="A78" s="14"/>
      <c r="B78" s="14"/>
      <c r="C78" s="5">
        <f t="shared" si="17"/>
        <v>41093</v>
      </c>
      <c r="D78" s="6"/>
      <c r="E78" s="6"/>
      <c r="F78" s="6"/>
      <c r="G78" s="6"/>
      <c r="H78" s="7" t="str">
        <f t="shared" si="16"/>
        <v/>
      </c>
      <c r="J78" s="16"/>
    </row>
    <row r="79" spans="1:10" ht="15.75" hidden="1">
      <c r="A79" s="14"/>
      <c r="B79" s="14"/>
      <c r="C79" s="5">
        <f t="shared" si="17"/>
        <v>41094</v>
      </c>
      <c r="D79" s="6"/>
      <c r="E79" s="6"/>
      <c r="F79" s="6"/>
      <c r="G79" s="6"/>
      <c r="H79" s="7" t="str">
        <f t="shared" si="16"/>
        <v/>
      </c>
      <c r="J79" s="16"/>
    </row>
    <row r="80" spans="1:10" ht="15.75" hidden="1">
      <c r="A80" s="14"/>
      <c r="B80" s="14"/>
      <c r="C80" s="5">
        <f t="shared" si="17"/>
        <v>41095</v>
      </c>
      <c r="D80" s="6"/>
      <c r="E80" s="6"/>
      <c r="F80" s="6"/>
      <c r="G80" s="6"/>
      <c r="H80" s="7" t="str">
        <f t="shared" si="16"/>
        <v/>
      </c>
      <c r="J80" s="16"/>
    </row>
    <row r="81" spans="1:10" ht="15.75" hidden="1">
      <c r="A81" s="14"/>
      <c r="B81" s="14"/>
      <c r="C81" s="5">
        <f t="shared" si="17"/>
        <v>41096</v>
      </c>
      <c r="D81" s="6"/>
      <c r="E81" s="6"/>
      <c r="F81" s="6"/>
      <c r="G81" s="6"/>
      <c r="H81" s="7" t="str">
        <f t="shared" si="16"/>
        <v/>
      </c>
      <c r="J81" s="16"/>
    </row>
    <row r="82" spans="1:10" ht="15.75" hidden="1">
      <c r="A82" s="14">
        <v>5</v>
      </c>
      <c r="B82" s="14">
        <v>17</v>
      </c>
      <c r="C82" s="5">
        <f t="shared" si="17"/>
        <v>41099</v>
      </c>
      <c r="D82" s="6"/>
      <c r="E82" s="6"/>
      <c r="F82" s="6"/>
      <c r="G82" s="6"/>
      <c r="H82" s="7" t="str">
        <f t="shared" si="16"/>
        <v/>
      </c>
      <c r="J82" s="16" t="str">
        <f t="shared" si="18"/>
        <v/>
      </c>
    </row>
    <row r="83" spans="1:10" ht="15.75" hidden="1">
      <c r="A83" s="14"/>
      <c r="B83" s="14"/>
      <c r="C83" s="5">
        <f t="shared" si="17"/>
        <v>41100</v>
      </c>
      <c r="D83" s="6"/>
      <c r="E83" s="6"/>
      <c r="F83" s="6"/>
      <c r="G83" s="6"/>
      <c r="H83" s="7" t="str">
        <f t="shared" si="16"/>
        <v/>
      </c>
      <c r="J83" s="16"/>
    </row>
    <row r="84" spans="1:10" ht="15.75" hidden="1">
      <c r="A84" s="14"/>
      <c r="B84" s="14"/>
      <c r="C84" s="5">
        <f t="shared" si="17"/>
        <v>41101</v>
      </c>
      <c r="D84" s="6"/>
      <c r="E84" s="6"/>
      <c r="F84" s="6"/>
      <c r="G84" s="6"/>
      <c r="H84" s="7" t="str">
        <f t="shared" si="16"/>
        <v/>
      </c>
      <c r="J84" s="16"/>
    </row>
    <row r="85" spans="1:10" ht="15.75" hidden="1">
      <c r="A85" s="14"/>
      <c r="B85" s="14"/>
      <c r="C85" s="5">
        <f t="shared" si="17"/>
        <v>41102</v>
      </c>
      <c r="D85" s="6"/>
      <c r="E85" s="6"/>
      <c r="F85" s="6"/>
      <c r="G85" s="6"/>
      <c r="H85" s="7" t="str">
        <f t="shared" si="16"/>
        <v/>
      </c>
      <c r="J85" s="16"/>
    </row>
    <row r="86" spans="1:10" ht="15.75" hidden="1">
      <c r="A86" s="14"/>
      <c r="B86" s="14"/>
      <c r="C86" s="5">
        <f t="shared" si="17"/>
        <v>41103</v>
      </c>
      <c r="D86" s="6"/>
      <c r="E86" s="6"/>
      <c r="F86" s="6"/>
      <c r="G86" s="6"/>
      <c r="H86" s="7" t="str">
        <f t="shared" si="16"/>
        <v/>
      </c>
      <c r="J86" s="16"/>
    </row>
    <row r="87" spans="1:10" ht="15.75" hidden="1">
      <c r="A87" s="14"/>
      <c r="B87" s="14">
        <v>18</v>
      </c>
      <c r="C87" s="5">
        <f t="shared" si="17"/>
        <v>41106</v>
      </c>
      <c r="D87" s="6"/>
      <c r="E87" s="6"/>
      <c r="F87" s="6"/>
      <c r="G87" s="6"/>
      <c r="H87" s="7" t="str">
        <f t="shared" si="16"/>
        <v/>
      </c>
      <c r="J87" s="16" t="str">
        <f t="shared" si="18"/>
        <v/>
      </c>
    </row>
    <row r="88" spans="1:10" ht="15.75" hidden="1">
      <c r="A88" s="14"/>
      <c r="B88" s="14"/>
      <c r="C88" s="5">
        <f t="shared" si="17"/>
        <v>41107</v>
      </c>
      <c r="D88" s="6"/>
      <c r="E88" s="6"/>
      <c r="F88" s="6"/>
      <c r="G88" s="6"/>
      <c r="H88" s="7" t="str">
        <f t="shared" si="16"/>
        <v/>
      </c>
      <c r="J88" s="16"/>
    </row>
    <row r="89" spans="1:10" ht="15.75" hidden="1">
      <c r="A89" s="14"/>
      <c r="B89" s="14"/>
      <c r="C89" s="5">
        <f t="shared" si="17"/>
        <v>41108</v>
      </c>
      <c r="D89" s="6"/>
      <c r="E89" s="6"/>
      <c r="F89" s="6"/>
      <c r="G89" s="6"/>
      <c r="H89" s="7" t="str">
        <f t="shared" si="16"/>
        <v/>
      </c>
      <c r="J89" s="16"/>
    </row>
    <row r="90" spans="1:10" ht="15.75" hidden="1">
      <c r="A90" s="14"/>
      <c r="B90" s="14"/>
      <c r="C90" s="5">
        <f t="shared" si="17"/>
        <v>41109</v>
      </c>
      <c r="D90" s="6"/>
      <c r="E90" s="6"/>
      <c r="F90" s="6"/>
      <c r="G90" s="6"/>
      <c r="H90" s="7" t="str">
        <f t="shared" si="16"/>
        <v/>
      </c>
      <c r="J90" s="16"/>
    </row>
    <row r="91" spans="1:10" ht="15.75" hidden="1">
      <c r="A91" s="14"/>
      <c r="B91" s="14"/>
      <c r="C91" s="5">
        <f t="shared" si="17"/>
        <v>41110</v>
      </c>
      <c r="D91" s="6"/>
      <c r="E91" s="6"/>
      <c r="F91" s="6"/>
      <c r="G91" s="6"/>
      <c r="H91" s="7" t="str">
        <f t="shared" si="16"/>
        <v/>
      </c>
      <c r="J91" s="16"/>
    </row>
    <row r="92" spans="1:10" ht="15.75" hidden="1">
      <c r="A92" s="14"/>
      <c r="B92" s="14">
        <v>19</v>
      </c>
      <c r="C92" s="5">
        <f t="shared" si="17"/>
        <v>41113</v>
      </c>
      <c r="D92" s="6"/>
      <c r="E92" s="6"/>
      <c r="F92" s="6"/>
      <c r="G92" s="6"/>
      <c r="H92" s="7" t="str">
        <f t="shared" si="16"/>
        <v/>
      </c>
      <c r="J92" s="16" t="str">
        <f t="shared" si="18"/>
        <v/>
      </c>
    </row>
    <row r="93" spans="1:10" ht="15.75" hidden="1">
      <c r="A93" s="14"/>
      <c r="B93" s="14"/>
      <c r="C93" s="5">
        <f t="shared" si="17"/>
        <v>41114</v>
      </c>
      <c r="D93" s="6"/>
      <c r="E93" s="6"/>
      <c r="F93" s="6"/>
      <c r="G93" s="6"/>
      <c r="H93" s="7" t="str">
        <f t="shared" si="16"/>
        <v/>
      </c>
      <c r="J93" s="16"/>
    </row>
    <row r="94" spans="1:10" ht="15.75" hidden="1">
      <c r="A94" s="14"/>
      <c r="B94" s="14"/>
      <c r="C94" s="5">
        <f t="shared" si="17"/>
        <v>41115</v>
      </c>
      <c r="D94" s="6"/>
      <c r="E94" s="6"/>
      <c r="F94" s="6"/>
      <c r="G94" s="6"/>
      <c r="H94" s="7" t="str">
        <f t="shared" si="16"/>
        <v/>
      </c>
      <c r="J94" s="16"/>
    </row>
    <row r="95" spans="1:10" ht="15.75" hidden="1">
      <c r="A95" s="14"/>
      <c r="B95" s="14"/>
      <c r="C95" s="5">
        <f t="shared" si="17"/>
        <v>41116</v>
      </c>
      <c r="D95" s="6"/>
      <c r="E95" s="6"/>
      <c r="F95" s="6"/>
      <c r="G95" s="6"/>
      <c r="H95" s="7" t="str">
        <f t="shared" si="16"/>
        <v/>
      </c>
      <c r="J95" s="16"/>
    </row>
    <row r="96" spans="1:10" ht="15.75" hidden="1">
      <c r="A96" s="14"/>
      <c r="B96" s="14"/>
      <c r="C96" s="5">
        <f t="shared" si="17"/>
        <v>41117</v>
      </c>
      <c r="D96" s="6"/>
      <c r="E96" s="6"/>
      <c r="F96" s="6"/>
      <c r="G96" s="6"/>
      <c r="H96" s="7" t="str">
        <f t="shared" si="16"/>
        <v/>
      </c>
      <c r="J96" s="16"/>
    </row>
    <row r="97" spans="1:10" ht="15.75" hidden="1">
      <c r="A97" s="14"/>
      <c r="B97" s="14">
        <v>20</v>
      </c>
      <c r="C97" s="5">
        <f t="shared" si="17"/>
        <v>41120</v>
      </c>
      <c r="D97" s="6"/>
      <c r="E97" s="6"/>
      <c r="F97" s="6"/>
      <c r="G97" s="6"/>
      <c r="H97" s="7" t="str">
        <f t="shared" si="16"/>
        <v/>
      </c>
      <c r="J97" s="16" t="str">
        <f t="shared" si="18"/>
        <v/>
      </c>
    </row>
    <row r="98" spans="1:10" ht="15.75" hidden="1">
      <c r="A98" s="14"/>
      <c r="B98" s="14"/>
      <c r="C98" s="5">
        <f t="shared" si="17"/>
        <v>41121</v>
      </c>
      <c r="D98" s="6"/>
      <c r="E98" s="6"/>
      <c r="F98" s="6"/>
      <c r="G98" s="6"/>
      <c r="H98" s="7" t="str">
        <f t="shared" si="16"/>
        <v/>
      </c>
      <c r="J98" s="16"/>
    </row>
    <row r="99" spans="1:10" ht="15.75" hidden="1">
      <c r="A99" s="14"/>
      <c r="B99" s="14"/>
      <c r="C99" s="5">
        <f t="shared" si="17"/>
        <v>41122</v>
      </c>
      <c r="D99" s="6"/>
      <c r="E99" s="6"/>
      <c r="F99" s="6"/>
      <c r="G99" s="6"/>
      <c r="H99" s="7" t="str">
        <f t="shared" si="16"/>
        <v/>
      </c>
      <c r="J99" s="16"/>
    </row>
    <row r="100" spans="1:10" ht="15.75" hidden="1">
      <c r="A100" s="14"/>
      <c r="B100" s="14"/>
      <c r="C100" s="5">
        <f t="shared" si="17"/>
        <v>41123</v>
      </c>
      <c r="D100" s="6"/>
      <c r="E100" s="6"/>
      <c r="F100" s="6"/>
      <c r="G100" s="6"/>
      <c r="H100" s="7" t="str">
        <f t="shared" si="16"/>
        <v/>
      </c>
      <c r="J100" s="16"/>
    </row>
    <row r="101" spans="1:10" ht="15.75" hidden="1">
      <c r="A101" s="14"/>
      <c r="B101" s="14"/>
      <c r="C101" s="5">
        <f t="shared" si="17"/>
        <v>41124</v>
      </c>
      <c r="D101" s="6"/>
      <c r="E101" s="6"/>
      <c r="F101" s="6"/>
      <c r="G101" s="6"/>
      <c r="H101" s="7" t="str">
        <f t="shared" si="16"/>
        <v/>
      </c>
      <c r="J101" s="16"/>
    </row>
    <row r="102" spans="1:10" ht="15.75" hidden="1">
      <c r="A102" s="14">
        <v>6</v>
      </c>
      <c r="B102" s="14">
        <v>21</v>
      </c>
      <c r="C102" s="5">
        <f t="shared" si="17"/>
        <v>41127</v>
      </c>
      <c r="D102" s="6"/>
      <c r="E102" s="6"/>
      <c r="F102" s="6"/>
      <c r="G102" s="6"/>
      <c r="H102" s="7" t="str">
        <f t="shared" si="16"/>
        <v/>
      </c>
      <c r="J102" s="16" t="str">
        <f t="shared" si="18"/>
        <v/>
      </c>
    </row>
    <row r="103" spans="1:10" ht="15.75" hidden="1">
      <c r="A103" s="14"/>
      <c r="B103" s="14"/>
      <c r="C103" s="5">
        <f t="shared" si="17"/>
        <v>41128</v>
      </c>
      <c r="D103" s="6"/>
      <c r="E103" s="6"/>
      <c r="F103" s="6"/>
      <c r="G103" s="6"/>
      <c r="H103" s="7" t="str">
        <f t="shared" si="16"/>
        <v/>
      </c>
      <c r="J103" s="16"/>
    </row>
    <row r="104" spans="1:10" ht="15.75" hidden="1">
      <c r="A104" s="14"/>
      <c r="B104" s="14"/>
      <c r="C104" s="5">
        <f t="shared" si="17"/>
        <v>41129</v>
      </c>
      <c r="D104" s="6"/>
      <c r="E104" s="6"/>
      <c r="F104" s="6"/>
      <c r="G104" s="6"/>
      <c r="H104" s="7" t="str">
        <f t="shared" si="16"/>
        <v/>
      </c>
      <c r="J104" s="16"/>
    </row>
    <row r="105" spans="1:10" ht="15.75" hidden="1">
      <c r="A105" s="14"/>
      <c r="B105" s="14"/>
      <c r="C105" s="5">
        <f t="shared" si="17"/>
        <v>41130</v>
      </c>
      <c r="D105" s="6"/>
      <c r="E105" s="6"/>
      <c r="F105" s="6"/>
      <c r="G105" s="6"/>
      <c r="H105" s="7" t="str">
        <f t="shared" si="16"/>
        <v/>
      </c>
      <c r="J105" s="16"/>
    </row>
    <row r="106" spans="1:10" ht="15.75" hidden="1">
      <c r="A106" s="14"/>
      <c r="B106" s="14"/>
      <c r="C106" s="5">
        <f t="shared" si="17"/>
        <v>41131</v>
      </c>
      <c r="D106" s="6"/>
      <c r="E106" s="6"/>
      <c r="F106" s="6"/>
      <c r="G106" s="6"/>
      <c r="H106" s="7" t="str">
        <f t="shared" si="16"/>
        <v/>
      </c>
      <c r="J106" s="16"/>
    </row>
    <row r="107" spans="1:10" ht="15.75" hidden="1">
      <c r="A107" s="14"/>
      <c r="B107" s="14">
        <v>22</v>
      </c>
      <c r="C107" s="5">
        <f t="shared" si="17"/>
        <v>41134</v>
      </c>
      <c r="D107" s="6"/>
      <c r="E107" s="6"/>
      <c r="F107" s="6"/>
      <c r="G107" s="6"/>
      <c r="H107" s="7" t="str">
        <f t="shared" si="16"/>
        <v/>
      </c>
      <c r="J107" s="16" t="str">
        <f t="shared" si="18"/>
        <v/>
      </c>
    </row>
    <row r="108" spans="1:10" ht="15.75" hidden="1">
      <c r="A108" s="14"/>
      <c r="B108" s="14"/>
      <c r="C108" s="5">
        <f t="shared" si="17"/>
        <v>41135</v>
      </c>
      <c r="D108" s="6"/>
      <c r="E108" s="6"/>
      <c r="F108" s="6"/>
      <c r="G108" s="6"/>
      <c r="H108" s="7" t="str">
        <f t="shared" si="16"/>
        <v/>
      </c>
      <c r="J108" s="16"/>
    </row>
    <row r="109" spans="1:10" ht="15.75" hidden="1">
      <c r="A109" s="14"/>
      <c r="B109" s="14"/>
      <c r="C109" s="5">
        <f t="shared" si="17"/>
        <v>41136</v>
      </c>
      <c r="D109" s="6"/>
      <c r="E109" s="6"/>
      <c r="F109" s="6"/>
      <c r="G109" s="6"/>
      <c r="H109" s="7" t="str">
        <f t="shared" si="16"/>
        <v/>
      </c>
      <c r="J109" s="16"/>
    </row>
    <row r="110" spans="1:10" ht="15.75" hidden="1">
      <c r="A110" s="14"/>
      <c r="B110" s="14"/>
      <c r="C110" s="5">
        <f t="shared" si="17"/>
        <v>41137</v>
      </c>
      <c r="D110" s="6"/>
      <c r="E110" s="6"/>
      <c r="F110" s="6"/>
      <c r="G110" s="6"/>
      <c r="H110" s="7" t="str">
        <f t="shared" si="16"/>
        <v/>
      </c>
      <c r="J110" s="16"/>
    </row>
    <row r="111" spans="1:10" ht="15.75" hidden="1">
      <c r="A111" s="14"/>
      <c r="B111" s="14"/>
      <c r="C111" s="5">
        <f t="shared" si="17"/>
        <v>41138</v>
      </c>
      <c r="D111" s="6"/>
      <c r="E111" s="6"/>
      <c r="F111" s="6"/>
      <c r="G111" s="6"/>
      <c r="H111" s="7" t="str">
        <f t="shared" si="16"/>
        <v/>
      </c>
      <c r="J111" s="16"/>
    </row>
    <row r="112" spans="1:10" ht="15.75" hidden="1">
      <c r="A112" s="14"/>
      <c r="B112" s="14">
        <v>23</v>
      </c>
      <c r="C112" s="5">
        <f t="shared" si="17"/>
        <v>41141</v>
      </c>
      <c r="D112" s="6"/>
      <c r="E112" s="6"/>
      <c r="F112" s="6"/>
      <c r="G112" s="6"/>
      <c r="H112" s="7" t="str">
        <f t="shared" si="16"/>
        <v/>
      </c>
      <c r="J112" s="16" t="str">
        <f t="shared" si="18"/>
        <v/>
      </c>
    </row>
    <row r="113" spans="1:10" ht="15.75" hidden="1">
      <c r="A113" s="14"/>
      <c r="B113" s="14"/>
      <c r="C113" s="5">
        <f t="shared" si="17"/>
        <v>41142</v>
      </c>
      <c r="D113" s="6"/>
      <c r="E113" s="6"/>
      <c r="F113" s="6"/>
      <c r="G113" s="6"/>
      <c r="H113" s="7" t="str">
        <f t="shared" si="16"/>
        <v/>
      </c>
      <c r="J113" s="16"/>
    </row>
    <row r="114" spans="1:10" ht="15.75" hidden="1">
      <c r="A114" s="14"/>
      <c r="B114" s="14"/>
      <c r="C114" s="5">
        <f t="shared" si="17"/>
        <v>41143</v>
      </c>
      <c r="D114" s="6"/>
      <c r="E114" s="6"/>
      <c r="F114" s="6"/>
      <c r="G114" s="6"/>
      <c r="H114" s="7" t="str">
        <f t="shared" si="16"/>
        <v/>
      </c>
      <c r="J114" s="16"/>
    </row>
    <row r="115" spans="1:10" ht="15.75" hidden="1">
      <c r="A115" s="14"/>
      <c r="B115" s="14"/>
      <c r="C115" s="5">
        <f t="shared" si="17"/>
        <v>41144</v>
      </c>
      <c r="D115" s="6"/>
      <c r="E115" s="6"/>
      <c r="F115" s="6"/>
      <c r="G115" s="6"/>
      <c r="H115" s="7" t="str">
        <f t="shared" si="16"/>
        <v/>
      </c>
      <c r="J115" s="16"/>
    </row>
    <row r="116" spans="1:10" ht="15.75" hidden="1">
      <c r="A116" s="14"/>
      <c r="B116" s="14"/>
      <c r="C116" s="5">
        <f t="shared" si="17"/>
        <v>41145</v>
      </c>
      <c r="D116" s="6"/>
      <c r="E116" s="6"/>
      <c r="F116" s="6"/>
      <c r="G116" s="6"/>
      <c r="H116" s="7" t="str">
        <f t="shared" si="16"/>
        <v/>
      </c>
      <c r="J116" s="16"/>
    </row>
    <row r="117" spans="1:10" ht="15.75" hidden="1">
      <c r="A117" s="14"/>
      <c r="B117" s="14">
        <v>24</v>
      </c>
      <c r="C117" s="5">
        <f t="shared" si="17"/>
        <v>41148</v>
      </c>
      <c r="D117" s="6"/>
      <c r="E117" s="6"/>
      <c r="F117" s="6"/>
      <c r="G117" s="6"/>
      <c r="H117" s="7" t="str">
        <f t="shared" si="16"/>
        <v/>
      </c>
      <c r="J117" s="16" t="str">
        <f t="shared" si="18"/>
        <v/>
      </c>
    </row>
    <row r="118" spans="1:10" ht="15.75" hidden="1">
      <c r="A118" s="14"/>
      <c r="B118" s="14"/>
      <c r="C118" s="5">
        <f t="shared" si="17"/>
        <v>41149</v>
      </c>
      <c r="D118" s="6"/>
      <c r="E118" s="6"/>
      <c r="F118" s="6"/>
      <c r="G118" s="6"/>
      <c r="H118" s="7" t="str">
        <f t="shared" si="16"/>
        <v/>
      </c>
      <c r="J118" s="16"/>
    </row>
    <row r="119" spans="1:10" ht="15.75" hidden="1">
      <c r="A119" s="14"/>
      <c r="B119" s="14"/>
      <c r="C119" s="5">
        <f t="shared" si="17"/>
        <v>41150</v>
      </c>
      <c r="D119" s="6"/>
      <c r="E119" s="6"/>
      <c r="F119" s="6"/>
      <c r="G119" s="6"/>
      <c r="H119" s="7" t="str">
        <f t="shared" si="16"/>
        <v/>
      </c>
      <c r="J119" s="16"/>
    </row>
    <row r="120" spans="1:10" ht="15.75" hidden="1">
      <c r="A120" s="14"/>
      <c r="B120" s="14"/>
      <c r="C120" s="5">
        <f t="shared" si="17"/>
        <v>41151</v>
      </c>
      <c r="D120" s="6"/>
      <c r="E120" s="6"/>
      <c r="F120" s="6"/>
      <c r="G120" s="6"/>
      <c r="H120" s="7" t="str">
        <f t="shared" si="16"/>
        <v/>
      </c>
      <c r="J120" s="16"/>
    </row>
    <row r="121" spans="1:10" ht="15.75" hidden="1">
      <c r="A121" s="14"/>
      <c r="B121" s="14"/>
      <c r="C121" s="5">
        <f t="shared" si="17"/>
        <v>41152</v>
      </c>
      <c r="D121" s="6"/>
      <c r="E121" s="6"/>
      <c r="F121" s="6"/>
      <c r="G121" s="6"/>
      <c r="H121" s="7" t="str">
        <f t="shared" si="16"/>
        <v/>
      </c>
      <c r="J121" s="16"/>
    </row>
    <row r="122" spans="1:10" ht="15.75" hidden="1">
      <c r="A122" s="14">
        <v>7</v>
      </c>
      <c r="B122" s="14">
        <v>25</v>
      </c>
      <c r="C122" s="5">
        <f t="shared" si="17"/>
        <v>41155</v>
      </c>
      <c r="D122" s="6"/>
      <c r="E122" s="6"/>
      <c r="F122" s="6"/>
      <c r="G122" s="6"/>
      <c r="H122" s="7" t="str">
        <f t="shared" si="16"/>
        <v/>
      </c>
      <c r="J122" s="16" t="str">
        <f t="shared" si="18"/>
        <v/>
      </c>
    </row>
    <row r="123" spans="1:10" ht="15.75" hidden="1">
      <c r="A123" s="14"/>
      <c r="B123" s="14"/>
      <c r="C123" s="5">
        <f t="shared" si="17"/>
        <v>41156</v>
      </c>
      <c r="D123" s="6"/>
      <c r="E123" s="6"/>
      <c r="F123" s="6"/>
      <c r="G123" s="6"/>
      <c r="H123" s="7" t="str">
        <f t="shared" si="16"/>
        <v/>
      </c>
      <c r="J123" s="16"/>
    </row>
    <row r="124" spans="1:10" ht="15.75" hidden="1">
      <c r="A124" s="14"/>
      <c r="B124" s="14"/>
      <c r="C124" s="5">
        <f t="shared" si="17"/>
        <v>41157</v>
      </c>
      <c r="D124" s="6"/>
      <c r="E124" s="6"/>
      <c r="F124" s="6"/>
      <c r="G124" s="6"/>
      <c r="H124" s="7" t="str">
        <f t="shared" si="16"/>
        <v/>
      </c>
      <c r="J124" s="16"/>
    </row>
    <row r="125" spans="1:10" ht="15.75" hidden="1">
      <c r="A125" s="14"/>
      <c r="B125" s="14"/>
      <c r="C125" s="5">
        <f t="shared" si="17"/>
        <v>41158</v>
      </c>
      <c r="D125" s="6"/>
      <c r="E125" s="6"/>
      <c r="F125" s="6"/>
      <c r="G125" s="6"/>
      <c r="H125" s="7" t="str">
        <f t="shared" si="16"/>
        <v/>
      </c>
      <c r="J125" s="16"/>
    </row>
    <row r="126" spans="1:10" ht="15.75" hidden="1">
      <c r="A126" s="14"/>
      <c r="B126" s="14"/>
      <c r="C126" s="5">
        <f t="shared" si="17"/>
        <v>41159</v>
      </c>
      <c r="D126" s="6"/>
      <c r="E126" s="6"/>
      <c r="F126" s="6"/>
      <c r="G126" s="6"/>
      <c r="H126" s="7" t="str">
        <f t="shared" si="16"/>
        <v/>
      </c>
      <c r="J126" s="16"/>
    </row>
    <row r="127" spans="1:10" ht="15.75" hidden="1">
      <c r="A127" s="14"/>
      <c r="B127" s="14">
        <v>26</v>
      </c>
      <c r="C127" s="5">
        <f t="shared" si="17"/>
        <v>41162</v>
      </c>
      <c r="D127" s="6"/>
      <c r="E127" s="6"/>
      <c r="F127" s="6"/>
      <c r="G127" s="6"/>
      <c r="H127" s="7" t="str">
        <f t="shared" si="16"/>
        <v/>
      </c>
      <c r="J127" s="16" t="str">
        <f t="shared" si="18"/>
        <v/>
      </c>
    </row>
    <row r="128" spans="1:10" ht="15.75" hidden="1">
      <c r="A128" s="14"/>
      <c r="B128" s="14"/>
      <c r="C128" s="5">
        <f t="shared" si="17"/>
        <v>41163</v>
      </c>
      <c r="D128" s="6"/>
      <c r="E128" s="6"/>
      <c r="F128" s="6"/>
      <c r="G128" s="6"/>
      <c r="H128" s="7" t="str">
        <f t="shared" si="16"/>
        <v/>
      </c>
      <c r="J128" s="16"/>
    </row>
    <row r="129" spans="1:10" ht="15.75" hidden="1">
      <c r="A129" s="14"/>
      <c r="B129" s="14"/>
      <c r="C129" s="5">
        <f t="shared" si="17"/>
        <v>41164</v>
      </c>
      <c r="D129" s="6"/>
      <c r="E129" s="6"/>
      <c r="F129" s="6"/>
      <c r="G129" s="6"/>
      <c r="H129" s="7" t="str">
        <f t="shared" si="16"/>
        <v/>
      </c>
      <c r="J129" s="16"/>
    </row>
    <row r="130" spans="1:10" ht="15.75" hidden="1">
      <c r="A130" s="14"/>
      <c r="B130" s="14"/>
      <c r="C130" s="5">
        <f t="shared" si="17"/>
        <v>41165</v>
      </c>
      <c r="D130" s="6"/>
      <c r="E130" s="6"/>
      <c r="F130" s="6"/>
      <c r="G130" s="6"/>
      <c r="H130" s="7" t="str">
        <f t="shared" si="16"/>
        <v/>
      </c>
      <c r="J130" s="16"/>
    </row>
    <row r="131" spans="1:10" ht="15.75" hidden="1">
      <c r="A131" s="14"/>
      <c r="B131" s="14"/>
      <c r="C131" s="5">
        <f t="shared" si="17"/>
        <v>41166</v>
      </c>
      <c r="D131" s="6"/>
      <c r="E131" s="6"/>
      <c r="F131" s="6"/>
      <c r="G131" s="6"/>
      <c r="H131" s="7" t="str">
        <f t="shared" ref="H131" si="19">IF(AND(E131&lt;&gt;"",  D131 &lt;&gt; "", G131 &lt;&gt; "", F131 &lt;&gt; ""),E131-D131+G131-F131,"")</f>
        <v/>
      </c>
      <c r="J131" s="16"/>
    </row>
    <row r="132" spans="1:10">
      <c r="D132" s="4"/>
      <c r="E132" s="4"/>
      <c r="F132" s="4"/>
      <c r="G132" s="4"/>
    </row>
    <row r="133" spans="1:10">
      <c r="D133" s="4"/>
      <c r="E133" s="4"/>
      <c r="F133" s="4"/>
      <c r="G133" s="4"/>
    </row>
    <row r="134" spans="1:10">
      <c r="D134" s="4"/>
      <c r="E134" s="4"/>
      <c r="F134" s="4"/>
      <c r="G134" s="4"/>
    </row>
    <row r="135" spans="1:10">
      <c r="D135" s="4"/>
      <c r="E135" s="4"/>
      <c r="F135" s="4"/>
      <c r="G135" s="4"/>
    </row>
    <row r="136" spans="1:10">
      <c r="D136" s="4"/>
      <c r="E136" s="4"/>
      <c r="F136" s="4"/>
      <c r="G136" s="4"/>
    </row>
    <row r="137" spans="1:10">
      <c r="D137" s="6"/>
      <c r="E137" s="6"/>
      <c r="F137" s="6"/>
      <c r="G137" s="6"/>
    </row>
    <row r="138" spans="1:10">
      <c r="D138" s="6"/>
      <c r="E138" s="6"/>
      <c r="F138" s="6"/>
      <c r="G138" s="6"/>
    </row>
    <row r="139" spans="1:10">
      <c r="D139" s="6"/>
      <c r="E139" s="6"/>
      <c r="F139" s="6"/>
      <c r="G139" s="6"/>
    </row>
    <row r="140" spans="1:10">
      <c r="D140" s="6"/>
      <c r="E140" s="6"/>
      <c r="F140" s="6"/>
      <c r="G140" s="6"/>
    </row>
    <row r="141" spans="1:10">
      <c r="D141" s="6"/>
      <c r="E141" s="6"/>
      <c r="F141" s="6"/>
      <c r="G141" s="6"/>
    </row>
    <row r="142" spans="1:10">
      <c r="D142" s="6"/>
      <c r="E142" s="6"/>
      <c r="F142" s="6"/>
      <c r="G142" s="6"/>
    </row>
    <row r="143" spans="1:10">
      <c r="D143" s="6"/>
      <c r="E143" s="6"/>
      <c r="F143" s="6"/>
      <c r="G143" s="6"/>
    </row>
    <row r="144" spans="1:10">
      <c r="D144" s="6"/>
      <c r="E144" s="6"/>
      <c r="F144" s="6"/>
      <c r="G144" s="6"/>
    </row>
    <row r="145" spans="4:7">
      <c r="D145" s="6"/>
      <c r="E145" s="6"/>
      <c r="F145" s="6"/>
      <c r="G145" s="6"/>
    </row>
    <row r="146" spans="4:7">
      <c r="D146" s="6"/>
      <c r="E146" s="6"/>
      <c r="F146" s="6"/>
      <c r="G146" s="6"/>
    </row>
  </sheetData>
  <sheetProtection sheet="1" objects="1" scenarios="1" formatColumns="0" autoFilter="0"/>
  <autoFilter ref="A1:J131">
    <filterColumn colId="2">
      <dynamicFilter type="thisWeek" val="41014" maxVal="41021"/>
    </filterColumn>
  </autoFilter>
  <mergeCells count="59">
    <mergeCell ref="J87:J91"/>
    <mergeCell ref="J122:J126"/>
    <mergeCell ref="J127:J131"/>
    <mergeCell ref="J92:J96"/>
    <mergeCell ref="J97:J101"/>
    <mergeCell ref="J102:J106"/>
    <mergeCell ref="J107:J111"/>
    <mergeCell ref="J112:J116"/>
    <mergeCell ref="J117:J121"/>
    <mergeCell ref="J57:J61"/>
    <mergeCell ref="J2:J6"/>
    <mergeCell ref="J7:J11"/>
    <mergeCell ref="J12:J16"/>
    <mergeCell ref="J17:J21"/>
    <mergeCell ref="J22:J26"/>
    <mergeCell ref="J27:J31"/>
    <mergeCell ref="J32:J36"/>
    <mergeCell ref="J37:J41"/>
    <mergeCell ref="J42:J46"/>
    <mergeCell ref="J47:J51"/>
    <mergeCell ref="J52:J56"/>
    <mergeCell ref="J62:J66"/>
    <mergeCell ref="J67:J71"/>
    <mergeCell ref="J72:J76"/>
    <mergeCell ref="B77:B81"/>
    <mergeCell ref="B82:B86"/>
    <mergeCell ref="J77:J81"/>
    <mergeCell ref="J82:J86"/>
    <mergeCell ref="B87:B91"/>
    <mergeCell ref="B92:B96"/>
    <mergeCell ref="B67:B71"/>
    <mergeCell ref="B97:B101"/>
    <mergeCell ref="B102:B106"/>
    <mergeCell ref="B72:B76"/>
    <mergeCell ref="B107:B111"/>
    <mergeCell ref="B112:B116"/>
    <mergeCell ref="B117:B121"/>
    <mergeCell ref="B122:B126"/>
    <mergeCell ref="B127:B131"/>
    <mergeCell ref="A2:A21"/>
    <mergeCell ref="B52:B56"/>
    <mergeCell ref="B57:B61"/>
    <mergeCell ref="B62:B66"/>
    <mergeCell ref="B27:B31"/>
    <mergeCell ref="B32:B36"/>
    <mergeCell ref="B37:B41"/>
    <mergeCell ref="B42:B46"/>
    <mergeCell ref="B47:B51"/>
    <mergeCell ref="B2:B6"/>
    <mergeCell ref="B7:B11"/>
    <mergeCell ref="B12:B16"/>
    <mergeCell ref="B17:B21"/>
    <mergeCell ref="B22:B26"/>
    <mergeCell ref="A122:A131"/>
    <mergeCell ref="A22:A41"/>
    <mergeCell ref="A42:A61"/>
    <mergeCell ref="A62:A81"/>
    <mergeCell ref="A82:A101"/>
    <mergeCell ref="A102:A121"/>
  </mergeCells>
  <pageMargins left="0.75" right="0.75" top="1" bottom="1" header="0.5" footer="0.5"/>
  <pageSetup paperSize="9" orientation="portrait" horizontalDpi="4294967292" verticalDpi="4294967292"/>
  <ignoredErrors>
    <ignoredError sqref="H67:H131" emptyCellReferenc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Between" id="{3BBEEF02-3825-4DFF-A0EC-80B037F3B453}">
            <xm:f>variable!$A$3</xm:f>
            <xm:f>variable!$B$3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J2:J131</xm:sqref>
        </x14:conditionalFormatting>
        <x14:conditionalFormatting xmlns:xm="http://schemas.microsoft.com/office/excel/2006/main">
          <x14:cfRule type="cellIs" priority="6" stopIfTrue="1" operator="between" id="{370142B4-921C-400A-AC0A-520CD5020219}">
            <xm:f>variable!$A$3</xm:f>
            <xm:f>variable!$B$3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J2:J131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/>
  <dimension ref="A1:B3"/>
  <sheetViews>
    <sheetView workbookViewId="0">
      <selection activeCell="B3" sqref="B3"/>
    </sheetView>
  </sheetViews>
  <sheetFormatPr baseColWidth="10" defaultRowHeight="15" x14ac:dyDescent="0"/>
  <sheetData>
    <row r="1" spans="1:2">
      <c r="A1" s="14" t="s">
        <v>5</v>
      </c>
      <c r="B1" s="14"/>
    </row>
    <row r="2" spans="1:2">
      <c r="A2" s="1" t="s">
        <v>6</v>
      </c>
      <c r="B2" s="2" t="s">
        <v>7</v>
      </c>
    </row>
    <row r="3" spans="1:2">
      <c r="A3" s="3">
        <v>1.4583333333333333</v>
      </c>
      <c r="B3" s="3">
        <v>1.875</v>
      </c>
    </row>
  </sheetData>
  <mergeCells count="1">
    <mergeCell ref="A1:B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horraire</vt:lpstr>
      <vt:lpstr>variable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Reitz</dc:creator>
  <cp:lastModifiedBy>Nicolas Reitz</cp:lastModifiedBy>
  <dcterms:created xsi:type="dcterms:W3CDTF">2012-03-19T19:38:47Z</dcterms:created>
  <dcterms:modified xsi:type="dcterms:W3CDTF">2012-04-22T10:02:13Z</dcterms:modified>
</cp:coreProperties>
</file>